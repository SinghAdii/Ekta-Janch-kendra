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 Tracker 2026" sheetId="1" r:id="rId4"/>
    <sheet state="visible" name="Students Details" sheetId="2" r:id="rId5"/>
    <sheet state="visible" name="Off Campus" sheetId="3" r:id="rId6"/>
    <sheet state="visible" name="NOC Issued" sheetId="4" r:id="rId7"/>
    <sheet state="visible" name="Students Startup" sheetId="5" r:id="rId8"/>
    <sheet state="visible" name="Pre-Placed" sheetId="6" r:id="rId9"/>
    <sheet state="hidden" name="Students Count" sheetId="7" r:id="rId10"/>
  </sheets>
  <definedNames/>
  <calcPr/>
</workbook>
</file>

<file path=xl/sharedStrings.xml><?xml version="1.0" encoding="utf-8"?>
<sst xmlns="http://schemas.openxmlformats.org/spreadsheetml/2006/main" count="6161" uniqueCount="1290">
  <si>
    <t>Poornima Group Placement Tracker Batch 2026</t>
  </si>
  <si>
    <t>S. 
  No.</t>
  </si>
  <si>
    <t>Name of Company</t>
  </si>
  <si>
    <t>Google Form Deadline</t>
  </si>
  <si>
    <t>Date of 
  Placement Drive</t>
  </si>
  <si>
    <t>Placement organized by (Emp. Code)</t>
  </si>
  <si>
    <t>Job Profile</t>
  </si>
  <si>
    <t>Package 
  Offered
  (Lac Per Annum)</t>
  </si>
  <si>
    <t>Eligible Course &amp; Branches</t>
  </si>
  <si>
    <t>Student Eligibility Criteria</t>
  </si>
  <si>
    <t>Eligible students</t>
  </si>
  <si>
    <t>Students Nomination received</t>
  </si>
  <si>
    <t>No. of Students participated in the drive</t>
  </si>
  <si>
    <t>1st Round Cleared
 (Online Test / GD)</t>
  </si>
  <si>
    <t>2nd Round Cleared</t>
  </si>
  <si>
    <t>Students appeared for (PI/HR Round)</t>
  </si>
  <si>
    <t>Total No. of Selections/Placements</t>
  </si>
  <si>
    <t>BRANCH WISE PLACEMENTS</t>
  </si>
  <si>
    <t>PCE</t>
  </si>
  <si>
    <t>PIET</t>
  </si>
  <si>
    <t>PU</t>
  </si>
  <si>
    <t>PG</t>
  </si>
  <si>
    <t>CS</t>
  </si>
  <si>
    <t>CS (Regional)</t>
  </si>
  <si>
    <t>IT</t>
  </si>
  <si>
    <t>AI</t>
  </si>
  <si>
    <t>AI&amp;DS</t>
  </si>
  <si>
    <t>Cyber Security (CY)</t>
  </si>
  <si>
    <t>ECE</t>
  </si>
  <si>
    <t>Civ</t>
  </si>
  <si>
    <t>EE</t>
  </si>
  <si>
    <t>ME</t>
  </si>
  <si>
    <t>Total</t>
  </si>
  <si>
    <t>DS</t>
  </si>
  <si>
    <t>Cloud Technology (CT&amp;FSD)</t>
  </si>
  <si>
    <t>Gaming Technology (GT)</t>
  </si>
  <si>
    <t>EE&amp;CE</t>
  </si>
  <si>
    <t>BCA</t>
  </si>
  <si>
    <t>B.Com</t>
  </si>
  <si>
    <t>BBA</t>
  </si>
  <si>
    <t>B.Arch</t>
  </si>
  <si>
    <t>BVA</t>
  </si>
  <si>
    <t>B.Des- FTD</t>
  </si>
  <si>
    <t>B.Des- ID</t>
  </si>
  <si>
    <t>B.Sc. (PCM)</t>
  </si>
  <si>
    <t>B.Sc. (VFX)</t>
  </si>
  <si>
    <t>B.Sc. (H&amp;HA) PIHM</t>
  </si>
  <si>
    <t>B.Sc- Environment Science</t>
  </si>
  <si>
    <t>B.Sc- Gaming, Augmented And Virtual Reality</t>
  </si>
  <si>
    <t>BA</t>
  </si>
  <si>
    <t>MCA</t>
  </si>
  <si>
    <t>M.Tech</t>
  </si>
  <si>
    <t>MBA</t>
  </si>
  <si>
    <t>M.Des</t>
  </si>
  <si>
    <t>M.Plan</t>
  </si>
  <si>
    <t>MPH</t>
  </si>
  <si>
    <t>Master (Yogic Studies)</t>
  </si>
  <si>
    <t>MVA</t>
  </si>
  <si>
    <t>Placed</t>
  </si>
  <si>
    <t>Drone Rangers India</t>
  </si>
  <si>
    <t>19-Mar-2025 10am</t>
  </si>
  <si>
    <t>25-Feb-2025</t>
  </si>
  <si>
    <t>Graduate UAV Engineer &amp; Trainer Interns</t>
  </si>
  <si>
    <t>2.5 LPA to 3 LPA</t>
  </si>
  <si>
    <t>B.Tech-(CS, IT, AI, DS, AI&amp;DS, GT, CY, ECE, EE, EE&amp;CE) Batch 2026.</t>
  </si>
  <si>
    <t>No Criteria.</t>
  </si>
  <si>
    <t>Not Shared</t>
  </si>
  <si>
    <t>NA</t>
  </si>
  <si>
    <t>TechMatrix</t>
  </si>
  <si>
    <t>3-Mar-2025</t>
  </si>
  <si>
    <t>(Internship+PPO)</t>
  </si>
  <si>
    <t>B.Tech-(CS, IT, AI, DS, AI&amp;DS, GT, CY) Batch 2026</t>
  </si>
  <si>
    <t>MediaAmp</t>
  </si>
  <si>
    <t>20-Mar-2025 9am</t>
  </si>
  <si>
    <t>7-April-2025</t>
  </si>
  <si>
    <t>DevOps Intern</t>
  </si>
  <si>
    <t>5 LPA to 11 LPA</t>
  </si>
  <si>
    <t>B.Tech-(CS, IT, AI, DS, AI&amp;DS, GT, CY), BCA, M.Tech-(CS) &amp; MCA Batch 2026.</t>
  </si>
  <si>
    <t>Zero Backlog.</t>
  </si>
  <si>
    <t>Frontend Developer Intern</t>
  </si>
  <si>
    <t>Python Flask and AI Developer Intern</t>
  </si>
  <si>
    <t>Travel Lykke</t>
  </si>
  <si>
    <t>31-Mar-2025 3pm</t>
  </si>
  <si>
    <t>12-Apr-2025</t>
  </si>
  <si>
    <t>Software Engineer Intern</t>
  </si>
  <si>
    <t>4 LPA to 6 LPA</t>
  </si>
  <si>
    <t>B.Tech-(CS, IT, AI, DS, AI&amp;DS, GT, CY) &amp; MCA Batch 2026.</t>
  </si>
  <si>
    <t>Upto Three Backlogs.</t>
  </si>
  <si>
    <t>R/A</t>
  </si>
  <si>
    <t>Infosys HackWithInfy</t>
  </si>
  <si>
    <t>12-Feb-2025 10am</t>
  </si>
  <si>
    <t>Specialist Programmer</t>
  </si>
  <si>
    <t>B.Tech-(All Branches), M.Tech-(All) &amp; MCA Batch 2026.</t>
  </si>
  <si>
    <t>Digital Specialist Engineer</t>
  </si>
  <si>
    <t>Josh Technology Group</t>
  </si>
  <si>
    <t>24-Mar-2025 9am (Extended)</t>
  </si>
  <si>
    <t>15-Apr-2025</t>
  </si>
  <si>
    <t>Front End Developer</t>
  </si>
  <si>
    <t>B.Tech-(CS, IT, AI, DS, AI&amp;DS, GT, CY, ECE), MCA &amp; M.Tech-(CS) Batch 2026.</t>
  </si>
  <si>
    <t>Upto 18 Backlogs.</t>
  </si>
  <si>
    <t>Software Developer</t>
  </si>
  <si>
    <t>Software Quality Analyst</t>
  </si>
  <si>
    <t>B.Tech-(CS, IT, AI, DS, AI&amp;DS, GT, CY, ECE), BCA &amp; MCA Batch 2026.</t>
  </si>
  <si>
    <t>Better Software (formerly Jalan Technologies)</t>
  </si>
  <si>
    <t>14-Apr-2025 10am</t>
  </si>
  <si>
    <t>18-Apr-2025</t>
  </si>
  <si>
    <t>Software Engineers</t>
  </si>
  <si>
    <t>4 LPA to 5 LPA</t>
  </si>
  <si>
    <t>B.Tech-(CS, IT, AI, AI&amp;DS, DS, GT, CY), BCA &amp; MCA Batch 2026.</t>
  </si>
  <si>
    <t>Upto Two Backlogs.</t>
  </si>
  <si>
    <t>IRIS Business Services</t>
  </si>
  <si>
    <t>10-May-2025 9am</t>
  </si>
  <si>
    <t>22-May-2025</t>
  </si>
  <si>
    <t>1. Elite (7 LPA to 8 LPA) &amp; 
2. Ninjas (3.75 LPA to 5 LPA)</t>
  </si>
  <si>
    <t>B.Tech-(CS, IT, AI, DS, AI&amp;DS, GT, CY, ECE), M.Tech-(CS) &amp; MCA Batch 2026.</t>
  </si>
  <si>
    <t>Consultadd Services</t>
  </si>
  <si>
    <t>14-June-2025 10am</t>
  </si>
  <si>
    <t>27-June-2025</t>
  </si>
  <si>
    <t>Management Trainee Engineer</t>
  </si>
  <si>
    <t>B.Tech (Civil, EE, ECE, ME, EE&amp;CE) Batch 2026</t>
  </si>
  <si>
    <t>Unthinkable Solutions</t>
  </si>
  <si>
    <t>15-July-2025 9am</t>
  </si>
  <si>
    <t>21-July-2025</t>
  </si>
  <si>
    <t>Technical A</t>
  </si>
  <si>
    <t>Technical A+</t>
  </si>
  <si>
    <t>Quintype Services</t>
  </si>
  <si>
    <t>16-July-2025 9am</t>
  </si>
  <si>
    <t>22-July-2025</t>
  </si>
  <si>
    <t>Junior Software Developer</t>
  </si>
  <si>
    <t>B.Tech-(CS, IT, AI, DS, AI&amp;DS, CY, GT, ECE) Batch 2026.</t>
  </si>
  <si>
    <t>Josh Technology Group (Phase-II)</t>
  </si>
  <si>
    <t>24-Apr-2025 10am</t>
  </si>
  <si>
    <t>25-Jul-2025</t>
  </si>
  <si>
    <t>Business Analyst (Internship + Full-Time)</t>
  </si>
  <si>
    <t>B.Tech-(CS, IT, AI, DS, AI&amp;DS, GT, CY, ECE) Batch 2026</t>
  </si>
  <si>
    <t>NO Criteria.</t>
  </si>
  <si>
    <t>Josh Technology Group (Phase-III)</t>
  </si>
  <si>
    <t>30-June-2025 11am</t>
  </si>
  <si>
    <t>Associate Software Developer (Internship + Full-Time)</t>
  </si>
  <si>
    <t>B.Tech-(CS, IT, AI, AI&amp;DS, DS, GT, CY, ECE), MCA &amp; M.Tech-(CS) Batch 2026</t>
  </si>
  <si>
    <t>InTimeTec</t>
  </si>
  <si>
    <t>17-July-2025 10am</t>
  </si>
  <si>
    <t>28-July-2025</t>
  </si>
  <si>
    <t xml:space="preserve">Junior Software Engineer - Trainee </t>
  </si>
  <si>
    <t>B.Tech-(CS, IT, AI, DS, AI&amp;DS, CY, GT, ECE, EE, EE&amp;CE), M.Tech-(CS, EE, ECE) &amp; MCA Batch 2026.</t>
  </si>
  <si>
    <t>Danish Power</t>
  </si>
  <si>
    <t>18-July-2025 9am</t>
  </si>
  <si>
    <t>30-July-2025</t>
  </si>
  <si>
    <t>Interns</t>
  </si>
  <si>
    <t>B.Tech-(EE, ME, EE&amp;CE) Batch 2026.</t>
  </si>
  <si>
    <t>BigStep Technologies</t>
  </si>
  <si>
    <t>17-July-2025 9am</t>
  </si>
  <si>
    <t>Software Engineer</t>
  </si>
  <si>
    <t>Level 1: 6 LPA
Level 2: 7 LPA
Level 3: 8 LPA</t>
  </si>
  <si>
    <t>B.Tech-(CS, IT, AI, DS, AI&amp;DS, CY, GT, ECE) &amp; MCA Batch 2026.</t>
  </si>
  <si>
    <t>rtCamp</t>
  </si>
  <si>
    <t>21-July-2025 9am</t>
  </si>
  <si>
    <t>Associate Software Engineer</t>
  </si>
  <si>
    <t>9 LPA to 12 LPA</t>
  </si>
  <si>
    <t>B.Tech-(CS, IT, AI, DS, AI&amp;DS, CY, GT) Batch 2026.</t>
  </si>
  <si>
    <t>Upto Eight Backlogs.</t>
  </si>
  <si>
    <t>GKM IT</t>
  </si>
  <si>
    <t>26-July-2025 10am</t>
  </si>
  <si>
    <t>02-Aug-2025</t>
  </si>
  <si>
    <t>Data Science Intern</t>
  </si>
  <si>
    <t>5 LPA to 7 LPA</t>
  </si>
  <si>
    <t>70% &amp; above in 10th, 12th, UG &amp; PG.
Upto Two backlogs.</t>
  </si>
  <si>
    <t>DATA ENGINEERING INTERN</t>
  </si>
  <si>
    <t>PYTHON INTERN</t>
  </si>
  <si>
    <t>NODE.JS INTERN</t>
  </si>
  <si>
    <t>REACT.JS INTERN</t>
  </si>
  <si>
    <t>MOBILE INTERN</t>
  </si>
  <si>
    <t>QA INTERN</t>
  </si>
  <si>
    <t>Innovatiview India</t>
  </si>
  <si>
    <t>31-July-2025 9am</t>
  </si>
  <si>
    <t>05-Aug-2025</t>
  </si>
  <si>
    <t>CRM</t>
  </si>
  <si>
    <t>4 LPA</t>
  </si>
  <si>
    <t>B.Tech-(All Branches) Batch 2026</t>
  </si>
  <si>
    <t>Upto Two Backlogs</t>
  </si>
  <si>
    <t>Inside Sales</t>
  </si>
  <si>
    <t>Field Sales</t>
  </si>
  <si>
    <t>Operations - Marketing</t>
  </si>
  <si>
    <t>Operations - Exams</t>
  </si>
  <si>
    <t>Operations - Tendering / Operations Infraview</t>
  </si>
  <si>
    <t>B.Tech-(Civil) Batch 2026</t>
  </si>
  <si>
    <t>Infra - Projects</t>
  </si>
  <si>
    <t>Celebal Technologies (Campus Hiring)</t>
  </si>
  <si>
    <t>Data Science</t>
  </si>
  <si>
    <t>B.Tech-(CS, IT, AI, DS, AI&amp;DS, CY, GT, ECE), M.Tech-(CS, ECE) &amp; MCA Batch 2026.</t>
  </si>
  <si>
    <t>60% &amp; above in 10th, 12th, UG, PG.
Zero Backlog.</t>
  </si>
  <si>
    <t>Data Engineer</t>
  </si>
  <si>
    <t>Full Stack Dev</t>
  </si>
  <si>
    <t>CRM Landing</t>
  </si>
  <si>
    <t>23-July-2025 9am</t>
  </si>
  <si>
    <t>11-Aug-2025</t>
  </si>
  <si>
    <t>Associate Salesforce Developer</t>
  </si>
  <si>
    <t>B.Tech-(CS, IT, AI, DS, AI&amp;DS, CY, GT, ECE), BCA &amp; MCA Batch 2026.</t>
  </si>
  <si>
    <t>Cloud Certitude</t>
  </si>
  <si>
    <t>08-Aug-2025 9am</t>
  </si>
  <si>
    <t>Salesforce Trainee</t>
  </si>
  <si>
    <t>MCA &amp; M.Tech-(CS) Batch 2026.</t>
  </si>
  <si>
    <t>Upto Four Backlogs</t>
  </si>
  <si>
    <t>Cyntexa Labs</t>
  </si>
  <si>
    <t>02-Aug-2025 10am</t>
  </si>
  <si>
    <t>13-Aug-2025</t>
  </si>
  <si>
    <t>Associate Software Developer</t>
  </si>
  <si>
    <t>B.Tech-(CS, IT, AI, DS, AI&amp;DS, GT, CY, ECE), BCA, M.Tech-(CS) &amp; MCA Batch 2026</t>
  </si>
  <si>
    <t>Zero Backlogs.</t>
  </si>
  <si>
    <t>AdvaRisk (SLO Technologies)</t>
  </si>
  <si>
    <t>21-July-2025 10am</t>
  </si>
  <si>
    <t>19-Aug-2025</t>
  </si>
  <si>
    <t>Product Management Intern (PPO)</t>
  </si>
  <si>
    <t>60% &amp; below in 10th or 12th or UG or PG.</t>
  </si>
  <si>
    <t>Eleation Services</t>
  </si>
  <si>
    <t>25-July-2025 10am</t>
  </si>
  <si>
    <t>CAE Project Engineer</t>
  </si>
  <si>
    <t>B.Tech-(Civil, EE, ME, ECE, EE&amp;CE), M.Tech (ECE, EE, ME, Civil) Batch 2026</t>
  </si>
  <si>
    <t>Upto Four Backlogs.</t>
  </si>
  <si>
    <t>Hummingbird</t>
  </si>
  <si>
    <t>02-Aug-2025 11am</t>
  </si>
  <si>
    <t>Not Recieve</t>
  </si>
  <si>
    <t>Software Developer (SD2)</t>
  </si>
  <si>
    <t>B.Tech-(CS, IT, AI, DS, AI&amp;DS, GT, CY, ECE) Batch 2026.</t>
  </si>
  <si>
    <t>Josh Technology Group (Phase-IV)</t>
  </si>
  <si>
    <t>21-Aug-2025 11am</t>
  </si>
  <si>
    <t>22-Aug-2025</t>
  </si>
  <si>
    <t>Circulants</t>
  </si>
  <si>
    <t>18-Aug-2025 11am</t>
  </si>
  <si>
    <t>23-Aug-2025</t>
  </si>
  <si>
    <t>3.5 LPA to 6 LPA</t>
  </si>
  <si>
    <t>B.Tech-(CS, IT, AI, DS, AI&amp;DS, CY, GT, ECE), BCA, MCA &amp; M.Tech-(CS) Batch 2026.</t>
  </si>
  <si>
    <t>70% &amp; above in 10th, 12th, UG &amp; PG.
Upto Two Backlogs.</t>
  </si>
  <si>
    <t>MediaAmp (Phase-II)</t>
  </si>
  <si>
    <t>18-Aug-2025 9am</t>
  </si>
  <si>
    <t>25-Aug-2025</t>
  </si>
  <si>
    <t>AI Creative Designer Intern</t>
  </si>
  <si>
    <t>AI Marketing Analyst Intern</t>
  </si>
  <si>
    <t>AI Developer Intern</t>
  </si>
  <si>
    <t>Frontend Internship</t>
  </si>
  <si>
    <t>Project Manager Intern</t>
  </si>
  <si>
    <t>Python Internship</t>
  </si>
  <si>
    <t>Dev Ops Intern</t>
  </si>
  <si>
    <t>Polaris</t>
  </si>
  <si>
    <t>21-Aug-2025 1pm</t>
  </si>
  <si>
    <t>26-Aug-2025</t>
  </si>
  <si>
    <t>Validation Engineer - Trainee</t>
  </si>
  <si>
    <t>B.Tech-(ECE, EE, EE&amp;CE) Batch 2026.</t>
  </si>
  <si>
    <t>60% &amp; above in each semester of Graduation.</t>
  </si>
  <si>
    <t>Hardware Design Engineer - Trainee</t>
  </si>
  <si>
    <t>3 LPA to 4 LPA</t>
  </si>
  <si>
    <t>Gardiyan System Security Technologies</t>
  </si>
  <si>
    <t>11-Aug-2025 8am</t>
  </si>
  <si>
    <t>27-Aug-2025</t>
  </si>
  <si>
    <t>Cloud Security Analyst</t>
  </si>
  <si>
    <t>10 LPA to 18 LPA</t>
  </si>
  <si>
    <t>B.Tech-(CS, IT, AI, DS, AI&amp;DS, CY, GT), M.Tech-(CS) &amp; MCA Batch 2026..</t>
  </si>
  <si>
    <t>Application Security Engineer (Junior)</t>
  </si>
  <si>
    <t>6 LPA to 10 LPA</t>
  </si>
  <si>
    <t>Devsecops Engineer (Entry-Level)</t>
  </si>
  <si>
    <t>6 LPA to 12 LPA</t>
  </si>
  <si>
    <t>Cloud Compliance Associate</t>
  </si>
  <si>
    <t>5 LPA to 8 LPA</t>
  </si>
  <si>
    <t>Green Power International</t>
  </si>
  <si>
    <t>16-July-2025 1pm</t>
  </si>
  <si>
    <t>28-Aug-2025</t>
  </si>
  <si>
    <t>GET</t>
  </si>
  <si>
    <t>Upto One Backlog.</t>
  </si>
  <si>
    <t>Aliando</t>
  </si>
  <si>
    <t>22-Aug-2025 9am</t>
  </si>
  <si>
    <t>Trainee- Cloud Operations</t>
  </si>
  <si>
    <t>B.Tech-(CS, IT, AI, DS, AI&amp;DS, CY, GT) &amp; BCA-(Cloud Tech) Batch 2026.</t>
  </si>
  <si>
    <t>60% &amp; above in 10th, 12th.
6.5 CGPA or 65% &amp; above in UG.
Zero Backlog.</t>
  </si>
  <si>
    <t>Uttam Bharat Electrical</t>
  </si>
  <si>
    <t>16-Aug-2025 12pm</t>
  </si>
  <si>
    <t>30-Aug-2025</t>
  </si>
  <si>
    <t>Graduate Engineer Trainees (GETs)</t>
  </si>
  <si>
    <t>60% &amp; above in 10th, 12th, UG.
Zero Backlog.</t>
  </si>
  <si>
    <t>Aadhar Housing Finance</t>
  </si>
  <si>
    <t>21-July-2025 11am</t>
  </si>
  <si>
    <t>Data Science Trainee</t>
  </si>
  <si>
    <t>ThoughtsWin Systems</t>
  </si>
  <si>
    <t>02-Sep-2025</t>
  </si>
  <si>
    <t>Artificial Intelligence &amp; Machine Learning</t>
  </si>
  <si>
    <t>B.Tech-(CS, IT, AI, DS, AI&amp;DS, CY, GT, ECE), BCA-(AI&amp;DS, CT), M.Tech-(CS) &amp; MCA Batch 2026</t>
  </si>
  <si>
    <t>70% &amp; above in UG/PG.
Zero Backlog.</t>
  </si>
  <si>
    <t>Data Science &amp; Cloud Technologies</t>
  </si>
  <si>
    <t>Software Development (Python, Angular, React, Java, Spring Boot)</t>
  </si>
  <si>
    <t>B.Tech-(CS, IT, AI, DS, AI&amp;DS, CY, GT, ECE), M.Tech-(CS) &amp; MCA Batch 2026</t>
  </si>
  <si>
    <t>Josh Technology Group (Phase-V)</t>
  </si>
  <si>
    <t>28-Aug-2025 10am</t>
  </si>
  <si>
    <t>04-Sep-2025</t>
  </si>
  <si>
    <t>Upto 18 Backlogs</t>
  </si>
  <si>
    <t>Encardio Rit</t>
  </si>
  <si>
    <t>02-Sep-2025 11am</t>
  </si>
  <si>
    <t>05-Sep-2025</t>
  </si>
  <si>
    <t>Intern (GTOps)</t>
  </si>
  <si>
    <t>B.Tech-(Civil, ECE, EE, EE&amp;CE) Batch 2026.</t>
  </si>
  <si>
    <t>Cubexo</t>
  </si>
  <si>
    <t>06-Sep-2025</t>
  </si>
  <si>
    <t>Backend Developer</t>
  </si>
  <si>
    <t>B.Tech-(CS, IT, DS, AI, AI&amp;DS, GT, CY, ECE), M.Tech-(CS) &amp; MCA Batch 2026.</t>
  </si>
  <si>
    <t>AIHIFusion Technologies</t>
  </si>
  <si>
    <t>21-Aug-2025 2pm</t>
  </si>
  <si>
    <t>09-Sep-2025</t>
  </si>
  <si>
    <t>B.Tech-(CS, IT, AI, DS, AI&amp;DS, CY, GT, ECE) Batch 2026.
M.Tech-(CS) &amp; MCA Bach 2026 (Students must have BCA in Graduation)</t>
  </si>
  <si>
    <t>70% &amp; above in 10th, 12th, UG &amp; PG.
Zero Backlog.
Students must have 70% in Mathematics in both 10th and 12th.</t>
  </si>
  <si>
    <t>VE Commercial Vehicles</t>
  </si>
  <si>
    <t>26-Aug-2025 12pm</t>
  </si>
  <si>
    <t>Customer Service</t>
  </si>
  <si>
    <t>B.Tech-(EE &amp; ME) Bach 2026.</t>
  </si>
  <si>
    <t>60% &amp; above in 10th, 12th, UG.
Zero Backlog.
Age should not be more than 24 Years as of 01.11.2025.
Max prior experience (36 Months)
Gap Not more than 2 Years.</t>
  </si>
  <si>
    <t>Celebal’s Summer Internship</t>
  </si>
  <si>
    <t>01-May-2025 11am (Extended)</t>
  </si>
  <si>
    <t>B.Tech-(CS, IT, AI, AI&amp;DS, DS, GT, CY, ECE), BCA, M.Tech-(CS/ECE) &amp; MCA Batch 2026.</t>
  </si>
  <si>
    <t>SolarMaxx (Internship)</t>
  </si>
  <si>
    <t>21-Apr-2025 9am</t>
  </si>
  <si>
    <t>Data analytics &amp; Automation &amp; AI</t>
  </si>
  <si>
    <t>Internship</t>
  </si>
  <si>
    <t>B.Tech-(All Branches) &amp; MCA Batch 2026</t>
  </si>
  <si>
    <t>Upto five backlogs</t>
  </si>
  <si>
    <t>Recruit CRM</t>
  </si>
  <si>
    <t>11-July-2025 9am</t>
  </si>
  <si>
    <t>B.Tech-(CS, IT, AI, DS, AI&amp;DS, GT, CY, ECE), BCA, M.Tech-(CS) &amp; MCA Batch 2026.</t>
  </si>
  <si>
    <t>Consultadd Services (Phase-II)</t>
  </si>
  <si>
    <t>16-July-2025 10am</t>
  </si>
  <si>
    <t>B.Tech (Civil, EE, ECE, ME, EE&amp;CE)  Batch 2026</t>
  </si>
  <si>
    <t>Zero Backlog.
Students who have already participated in Phase-I are not eligible..</t>
  </si>
  <si>
    <t xml:space="preserve">Bluest Mettle Solutions (Cialfor) </t>
  </si>
  <si>
    <t>24-July-2025 9am</t>
  </si>
  <si>
    <t>Cyber Security Analyst Intern</t>
  </si>
  <si>
    <t>B.Tech-(CS, IT, AI, DS, AI&amp;DS, CY, GT), BCA-(Cyber Security) &amp; MCA-(Cyber Security) Batch 2026.</t>
  </si>
  <si>
    <t>BM Infotrade</t>
  </si>
  <si>
    <t>30-July-2025 2pm</t>
  </si>
  <si>
    <t>BCA-(Cyber Security, Cloud Tech) Batch 2026.</t>
  </si>
  <si>
    <t>Cyber Security Engineer</t>
  </si>
  <si>
    <t>Xebia</t>
  </si>
  <si>
    <t>02-Aug-2025 9am</t>
  </si>
  <si>
    <t>Cloud Infrastructure</t>
  </si>
  <si>
    <t>3.75 LPA to 5.5</t>
  </si>
  <si>
    <t>B.Tech-(CS, IT, AI, DS, AI&amp;DS, GT, CT, CY) Batch 2026</t>
  </si>
  <si>
    <t>70% &amp; Above in 10th, 12th.
75% &amp; Above in UG.
Zero Backlog.</t>
  </si>
  <si>
    <t>Power Platform</t>
  </si>
  <si>
    <t>B.Tech-(CS, IT, AI, DS, AI&amp;DS, GT, CT, CY, ECE, EE, EE&amp;CE) Batch 2026</t>
  </si>
  <si>
    <t>Data Analytics</t>
  </si>
  <si>
    <t>Data Engineering</t>
  </si>
  <si>
    <t>B.Tech- (AI, DS, AI&amp;DS) Batch 2026</t>
  </si>
  <si>
    <t>Antrazal</t>
  </si>
  <si>
    <t>17-Aug-2025 11am</t>
  </si>
  <si>
    <t>Associate Software Engineers</t>
  </si>
  <si>
    <t>3.5 LPA to 4.5 LPA</t>
  </si>
  <si>
    <t>B.Tech-(CS, IT, AI, DS, AI&amp;DS, CY, GT, ECE), M.Tech-(CS) &amp; MCA Batch 2026.</t>
  </si>
  <si>
    <t>Squark IP</t>
  </si>
  <si>
    <t>21-Aug-2025 9am</t>
  </si>
  <si>
    <t>Intern- Research Associate</t>
  </si>
  <si>
    <t>B.Tech-(CS, IT, AI, DS, AI&amp;DS, CY, GT, ECE) &amp; M.Tech-(CS) Batch 2026.</t>
  </si>
  <si>
    <t>6 CGPA &amp; above in UG/PG.
Zero Backlog.</t>
  </si>
  <si>
    <t>Mechlin Technologies</t>
  </si>
  <si>
    <t>21-Aug-2025 10am</t>
  </si>
  <si>
    <t>Software Developer Associates</t>
  </si>
  <si>
    <t>B.Tech-(CS, IT, AI, DS, AI&amp;DS, CY, GT, ECE), BCA, MCA &amp; M..Tech-(CS) Batch 2026.</t>
  </si>
  <si>
    <t>60% &amp; above in 10th, 12th, UG &amp; PG.
Zero Backlog.</t>
  </si>
  <si>
    <t>Vitromed</t>
  </si>
  <si>
    <t>21-Aug-2025 2.30pm</t>
  </si>
  <si>
    <t>Trainee - Industrial Engineer</t>
  </si>
  <si>
    <t>2.52 LPA to 3 LPA</t>
  </si>
  <si>
    <t>B.Tech-ME Batch 2026.</t>
  </si>
  <si>
    <t>Johnson Controls</t>
  </si>
  <si>
    <t>27-Aug-2025 10am</t>
  </si>
  <si>
    <t>Graduate Engineer Trainee (GET)</t>
  </si>
  <si>
    <t>B.Tech-(ECE, EE, EE&amp;CE, ME) Batch 2026.</t>
  </si>
  <si>
    <t>55% &amp; above in 10th, 12th, UG.
Zero Backlog.</t>
  </si>
  <si>
    <t>Parkar Digital</t>
  </si>
  <si>
    <t>28-Aug-2025 10:30am</t>
  </si>
  <si>
    <t>Data Engineer Intern</t>
  </si>
  <si>
    <r>
      <rPr>
        <rFont val="Arial"/>
        <color/>
      </rPr>
      <t xml:space="preserve">B.Tech-(CS, IT, AI, DS, AI&amp;DS) Batch 2026.
</t>
    </r>
    <r>
      <rPr>
        <rFont val="Arial"/>
        <b/>
        <color rgb="FFFF0000"/>
      </rPr>
      <t>B.Tech-(CY, GT) not eligible</t>
    </r>
  </si>
  <si>
    <t>Adnate IT Solutions</t>
  </si>
  <si>
    <t>29-Aug-2025 9am</t>
  </si>
  <si>
    <t>Intern/Associate Consultant</t>
  </si>
  <si>
    <t>Horizon InfraDesigns (HIDPL)</t>
  </si>
  <si>
    <t>02-Sep-2025 11:30am</t>
  </si>
  <si>
    <t>Structural Design Engineer</t>
  </si>
  <si>
    <t>B.Tech-(Civil) &amp; M.Tech-(Structural Engineering) Batch 2026.</t>
  </si>
  <si>
    <t>60% &amp; above in 10th, 12th.
65% &amp; above in UG (B.Tech), PG (M.Tech).
Zero Backlog.</t>
  </si>
  <si>
    <t>Structural Draftsman</t>
  </si>
  <si>
    <t>AU Small Finance Bank</t>
  </si>
  <si>
    <t>03-Sep-2025 9am</t>
  </si>
  <si>
    <t>Graduate Engineer Trainee</t>
  </si>
  <si>
    <t>Fingertips</t>
  </si>
  <si>
    <t>05-Sep-2025 8:30 am</t>
  </si>
  <si>
    <t>Data Analyst Trainer</t>
  </si>
  <si>
    <t>Full Stack Web Development Trainer</t>
  </si>
  <si>
    <t>Med Minute</t>
  </si>
  <si>
    <t>Hold till further information pending</t>
  </si>
  <si>
    <t>1. Backend Developer
2. AWS DevOps Engineer</t>
  </si>
  <si>
    <t>Provakil</t>
  </si>
  <si>
    <t>Customer Success Manager</t>
  </si>
  <si>
    <t>BCA Batch 2026.</t>
  </si>
  <si>
    <t>#</t>
  </si>
  <si>
    <t>On Campus</t>
  </si>
  <si>
    <t>Off Campus</t>
  </si>
  <si>
    <t>Pre-Placed</t>
  </si>
  <si>
    <t>Students Startup</t>
  </si>
  <si>
    <t>S.No.</t>
  </si>
  <si>
    <t>Reg. No.</t>
  </si>
  <si>
    <t>Name of Student</t>
  </si>
  <si>
    <t>Gender</t>
  </si>
  <si>
    <t>Branch</t>
  </si>
  <si>
    <t>Section</t>
  </si>
  <si>
    <t>College</t>
  </si>
  <si>
    <t>First Company</t>
  </si>
  <si>
    <t>Second Company</t>
  </si>
  <si>
    <t>Primary E-mail ID</t>
  </si>
  <si>
    <t>Mobile No.</t>
  </si>
  <si>
    <t>Stu_Linkedin ID</t>
  </si>
  <si>
    <t>Students Photographs Link</t>
  </si>
  <si>
    <t>PCE22AD005</t>
  </si>
  <si>
    <t>AHAMAD TANZEEL KHAN</t>
  </si>
  <si>
    <t>Male</t>
  </si>
  <si>
    <t>B.Tech CS (AI&amp;DS)</t>
  </si>
  <si>
    <t>I1</t>
  </si>
  <si>
    <t>TechMatrix (4 LPA)</t>
  </si>
  <si>
    <t>2022pceadahamad005@poornima.org</t>
  </si>
  <si>
    <t>PCE22CS033</t>
  </si>
  <si>
    <t>CHIRAG VAID</t>
  </si>
  <si>
    <t>B.Tech CS</t>
  </si>
  <si>
    <t>B1</t>
  </si>
  <si>
    <t>2022pcecschirag033@poornima.org</t>
  </si>
  <si>
    <t>PIET22CS034</t>
  </si>
  <si>
    <t>ASMI MISHRA</t>
  </si>
  <si>
    <t>Female</t>
  </si>
  <si>
    <t>A</t>
  </si>
  <si>
    <t>2022pietcsasmi034@poornima.org</t>
  </si>
  <si>
    <t>PCE22AD017</t>
  </si>
  <si>
    <t>BHAWUK ARORA</t>
  </si>
  <si>
    <t>2022pceadbhawuk017@poornima.org</t>
  </si>
  <si>
    <t>PCE22IT054</t>
  </si>
  <si>
    <t>TANUSH MAHIRCHANDANI</t>
  </si>
  <si>
    <t>B.Tech CS (IT)</t>
  </si>
  <si>
    <t>2022pceittanush054@poornima.org</t>
  </si>
  <si>
    <t>PCE22EC021</t>
  </si>
  <si>
    <t>ANUSHKA CHHIPA</t>
  </si>
  <si>
    <t>B.Tech ECE</t>
  </si>
  <si>
    <t>A2</t>
  </si>
  <si>
    <t>Drone Rangers India (Internship + PPO)</t>
  </si>
  <si>
    <t>2022pceecanushka021@poornima.org</t>
  </si>
  <si>
    <t>PCE22CS146</t>
  </si>
  <si>
    <t>SHIVAM JANGID</t>
  </si>
  <si>
    <t>D1</t>
  </si>
  <si>
    <t>Better Software ( Jalan Technologies) (4 LPA to 5 LPA)</t>
  </si>
  <si>
    <t>2022pcecsshivam146@poornima.org</t>
  </si>
  <si>
    <t>www.linkedin.com/in/shivam-jangid0303</t>
  </si>
  <si>
    <t>https://drive.google.com/file/d/1xbtsoa2ICkNLuDbyxqx5ErhLs4M_AH21/view?usp=drive_link</t>
  </si>
  <si>
    <t>PIET22CS009</t>
  </si>
  <si>
    <t>AKSHAT BARI</t>
  </si>
  <si>
    <t>2022pietcsakshat009@poornima.org</t>
  </si>
  <si>
    <t>https://www.linkedin.com/in/akshatbari/</t>
  </si>
  <si>
    <t>https://drive.google.com/file/d/1bCxipXNkDhNaIkEiEIEwXsUDb4SAmtuH/view?usp=drive_link</t>
  </si>
  <si>
    <t>PCE22CS110</t>
  </si>
  <si>
    <t>PRACHI TIWARI</t>
  </si>
  <si>
    <t>C3</t>
  </si>
  <si>
    <t>2022pcecsprachi110@poornima.org</t>
  </si>
  <si>
    <t>PCE22CA010</t>
  </si>
  <si>
    <t>AYUSH SHARMA</t>
  </si>
  <si>
    <t>B.Tech CS (AI)</t>
  </si>
  <si>
    <t>H1</t>
  </si>
  <si>
    <t>2022pcecaayush010@poornima.org</t>
  </si>
  <si>
    <t>2024/19147</t>
  </si>
  <si>
    <t>SONIYA PALIWAL</t>
  </si>
  <si>
    <t>FEMALE</t>
  </si>
  <si>
    <t>2024mcasoniya19147@poornima.edu.in</t>
  </si>
  <si>
    <t>2024/19036</t>
  </si>
  <si>
    <t>TANISHKA SHARMA</t>
  </si>
  <si>
    <t>2024mcatanishka19036@poornima.edu.in</t>
  </si>
  <si>
    <t>PCE22CS044</t>
  </si>
  <si>
    <t>DIVYANSH JAIN</t>
  </si>
  <si>
    <t>B3</t>
  </si>
  <si>
    <t>Josh Technology Group (13.23 LPA)</t>
  </si>
  <si>
    <t>2022pcecsdivyansh044@poornima.org</t>
  </si>
  <si>
    <t>https://www.linkedin.com/in/divyansh-jain-ab5801183/?utm_source=share&amp;utm_campaign=share_via&amp;utm_content=profile&amp;utm_medium=android_app</t>
  </si>
  <si>
    <t>https://drive.google.com/file/d/1KwEDBLDZQpBiHwPwJK6oy5lTRTaviX-l/view?usp=drive_link</t>
  </si>
  <si>
    <t>PCE22CS083</t>
  </si>
  <si>
    <t>MADHUSUDAN DADHICH</t>
  </si>
  <si>
    <t>C2</t>
  </si>
  <si>
    <t>2022pcecsmadhusudan083@poornima.org</t>
  </si>
  <si>
    <t>https://www.linkedin.com/in/madhusudan-dadhich/</t>
  </si>
  <si>
    <t>https://drive.google.com/file/d/1Vmw37-IHbToZuHGzfWvA8ux_1fZRBEDr/view?usp=drive_link</t>
  </si>
  <si>
    <t>PCE22CA037</t>
  </si>
  <si>
    <t>MRIDUL SONI</t>
  </si>
  <si>
    <t>H2</t>
  </si>
  <si>
    <t>MediaAMP (6.5 LPA to 11 LPA)</t>
  </si>
  <si>
    <t>2022pcecamridul037@poornima.org</t>
  </si>
  <si>
    <t>https://www.linkedin.com/in/mridulsoni</t>
  </si>
  <si>
    <t>https://drive.google.com/file/d/1cBw833rxlNPrlxgpUNFi-J7Qle7n7riY/view?usp=drive_link</t>
  </si>
  <si>
    <t>PCE22CS015</t>
  </si>
  <si>
    <t>ANJALI SONI</t>
  </si>
  <si>
    <t>2022pcecsanjali015@poornima.org</t>
  </si>
  <si>
    <t>https://www.linkedin.com/in/anjali-soni-68769825b</t>
  </si>
  <si>
    <t>https://drive.google.com/file/d/13PfubDRLhlp3J_32GebxOekEmyYgBGhX/view?usp=drive_link</t>
  </si>
  <si>
    <t>PIET22CD048</t>
  </si>
  <si>
    <t>PRIYAJ SONY</t>
  </si>
  <si>
    <t>B.Tech CS (DS)</t>
  </si>
  <si>
    <t>E</t>
  </si>
  <si>
    <t>2022pietcdpriyaj048@poornima.org</t>
  </si>
  <si>
    <t>https://in.linkedin.com/in/priyaj-sony</t>
  </si>
  <si>
    <t>https://drive.google.com/file/d/1L_PcPkiHWzqWHJzkljON-iX83LR0DOQr/view?usp=drive_link</t>
  </si>
  <si>
    <t>2022/11340</t>
  </si>
  <si>
    <t>DEEPANSHI GOYAL</t>
  </si>
  <si>
    <t>2022csdeepanshi11340@poornima.edu.in</t>
  </si>
  <si>
    <t>https://www.linkedin.com/in/deepanshigoyal04</t>
  </si>
  <si>
    <t>https://drive.google.com/file/d/1PNoObcqmGXweYn2u-5iYUySIgK-oV24z/view?usp=drive_link</t>
  </si>
  <si>
    <t>2022/11362</t>
  </si>
  <si>
    <t>GOURAV VYAS</t>
  </si>
  <si>
    <t>MALE</t>
  </si>
  <si>
    <t>2022csgourav11362@poornima.edu.in</t>
  </si>
  <si>
    <t>https://www.linkedin.com/in/gourav-vyas14/</t>
  </si>
  <si>
    <t>https://drive.google.com/file/d/1yPD4q40B4p7Cn2OyHD3e6_UeGwWKTZYv/view?usp=drive_link</t>
  </si>
  <si>
    <t>2022/12476</t>
  </si>
  <si>
    <t>LAKSHYA MAHARSHI</t>
  </si>
  <si>
    <t>2022cslakshya12476@poornima.edu.in</t>
  </si>
  <si>
    <t>https://www.linkedin.com/in/lakshya-maharshi/</t>
  </si>
  <si>
    <t>https://drive.google.com/file/d/1_f5_Nz7ahlIL_QBQo4rlJgtmTW9qnSi9/view?usp=drive_link</t>
  </si>
  <si>
    <t>PCE22CY011</t>
  </si>
  <si>
    <t>DAULAT SINGH</t>
  </si>
  <si>
    <t>B.Tech CS (CY)</t>
  </si>
  <si>
    <t>J1</t>
  </si>
  <si>
    <t>2022pcecydaulat011@poornima.org</t>
  </si>
  <si>
    <t>https://www.linkedin.com/in/daulat68</t>
  </si>
  <si>
    <t>https://drive.google.com/file/d/1xK9psYOFsXRj2cUpQGzzL8I_-TTYYCU1/view?usp=drive_link</t>
  </si>
  <si>
    <t>PCE22CS154</t>
  </si>
  <si>
    <t>SIDDHI MAROO</t>
  </si>
  <si>
    <t>C</t>
  </si>
  <si>
    <t>InTimeTec (5.5 LPA)</t>
  </si>
  <si>
    <t>2022pcecssiddhi154@poornima.org</t>
  </si>
  <si>
    <t>https://www.linkedin.com/in/siddhi-maru-5b4205277</t>
  </si>
  <si>
    <t>https://drive.google.com/file/d/1XGrq5flVb6udhQbpIRvOCWER4y7zv-a0/view?usp=drive_link</t>
  </si>
  <si>
    <t>PCE22AD012</t>
  </si>
  <si>
    <t>ARUN PRATAP SINGH</t>
  </si>
  <si>
    <t>2022pceadarun012@poornima.org</t>
  </si>
  <si>
    <t>https://www.linkedin.com/in/arun-pratap-singh-b52790257/</t>
  </si>
  <si>
    <t>https://drive.google.com/file/d/1vDPD4ih6prgpfzdwLPoG-EslEd-df1RB/view?usp=drive_link</t>
  </si>
  <si>
    <t>PCE22AD042</t>
  </si>
  <si>
    <t>PIYUSH SINGH NEGI</t>
  </si>
  <si>
    <t>2022pceadpiyush042@poornima.org</t>
  </si>
  <si>
    <t>https://www.linkedin.com/in/piyush-singh-negi-68b94b256</t>
  </si>
  <si>
    <t>https://drive.google.com/file/d/13qcdulkhg9K9-RhspdGFJq5rdDtfBERr/view?usp=drive_link</t>
  </si>
  <si>
    <t>PCE22CY030</t>
  </si>
  <si>
    <t>KHUSHI VIJAY</t>
  </si>
  <si>
    <t>2022pcecykhushi030@poornima.org</t>
  </si>
  <si>
    <t>https://www.linkedin.com/in/khushi-vijay97/.</t>
  </si>
  <si>
    <t>https://drive.google.com/file/d/15RRrt_SRHb31QtcXtVUtmto3hY3Sr7Re/view?usp=drive_link</t>
  </si>
  <si>
    <t>PCE22CR043</t>
  </si>
  <si>
    <t>PRINCE KUMAR</t>
  </si>
  <si>
    <t>B.Tech CS (R)</t>
  </si>
  <si>
    <t>2022pcecrprince043@poornima.org</t>
  </si>
  <si>
    <t>www.linkedin.com/in/prince-kumar-ba2228257</t>
  </si>
  <si>
    <t>https://drive.google.com/file/d/1DIQcaj4LQ59B9n8YlQJNfdDVVaOWqmQz/view?usp=drive_link</t>
  </si>
  <si>
    <t>PIET22CS003</t>
  </si>
  <si>
    <t>ABHISHREE GAHLOT</t>
  </si>
  <si>
    <t>2022pietcsabhishree003@poornima.org</t>
  </si>
  <si>
    <t>https://www.linkedin.com/in/abhishree-gahlot/</t>
  </si>
  <si>
    <t>https://drive.google.com/file/d/1bzz9dI_Xkp7DVnwmE4Lh24-Wna-RVNHU/view?usp=drive_link</t>
  </si>
  <si>
    <t>PIET22CS068</t>
  </si>
  <si>
    <t>HIMANI JANGID</t>
  </si>
  <si>
    <t>B</t>
  </si>
  <si>
    <t>2022pietcshimani068@poornima.org</t>
  </si>
  <si>
    <t>https://www.linkedin.com/in/himanijangid07/</t>
  </si>
  <si>
    <t>https://drive.google.com/file/d/1LajrLHELREWXZW2BdH89Kvnt-cwPtJZq/view?usp=drive_link</t>
  </si>
  <si>
    <t>PIET22CS072</t>
  </si>
  <si>
    <t>HIYA GURBANI</t>
  </si>
  <si>
    <t>Quintype Services (5 LPA)</t>
  </si>
  <si>
    <t>2022pietcshiya072@poornima.org</t>
  </si>
  <si>
    <t>https://www.linkedin.com/in/hiyagurbani/</t>
  </si>
  <si>
    <t>https://drive.google.com/file/d/1zCFUmSpwjcbP6arKjf-ZWcjRh3Heed3O/view?usp=drive_link</t>
  </si>
  <si>
    <t>PIET22CS092</t>
  </si>
  <si>
    <t>LAVINA SEVANI</t>
  </si>
  <si>
    <t>2022pietcslavina092@poornima.org</t>
  </si>
  <si>
    <t>https://www.linkedin.com/in/lavina-sevani</t>
  </si>
  <si>
    <t>https://drive.google.com/file/d/18CnlR6vGnFspv7wBk870TpCy7JzjfWp6/view?usp=drive_link</t>
  </si>
  <si>
    <t>PIET22AD063</t>
  </si>
  <si>
    <t>YASH THEPRA</t>
  </si>
  <si>
    <t>G</t>
  </si>
  <si>
    <t>2022pietadyash063@poornima.org</t>
  </si>
  <si>
    <t>http://linkedin.com/in/yash-thepra-854989266</t>
  </si>
  <si>
    <t>https://drive.google.com/file/d/1ePsSmOMUUuVQ8bGz_H56TX4JorQHyUB-/view?usp=drive_link</t>
  </si>
  <si>
    <t>PIET22CR029</t>
  </si>
  <si>
    <t>JEKI PANCHAL</t>
  </si>
  <si>
    <t>D</t>
  </si>
  <si>
    <t>2022pietcrjeki029@poornima.org</t>
  </si>
  <si>
    <t>https://www.linkedin.com/in/jekipanchal</t>
  </si>
  <si>
    <t>https://drive.google.com/file/d/1CW6c7R0T9NCCxGDMwj1twLVVqJP0ee_u/view?usp=drive_link</t>
  </si>
  <si>
    <t>2022/11339</t>
  </si>
  <si>
    <t>AMAN SAINI</t>
  </si>
  <si>
    <t>2022csaman11339@poornima.edu.in</t>
  </si>
  <si>
    <t>https://www.linkedin.com/in/aman-saini-995b212b1</t>
  </si>
  <si>
    <t>https://drive.google.com/file/d/1ZrK4Q250oEOM2ID4toAk_O8_PwSIx2up/view?usp=drive_link</t>
  </si>
  <si>
    <t>2022/12304</t>
  </si>
  <si>
    <t>DHAKA RAVINA SURESH</t>
  </si>
  <si>
    <t>2022csravina12304@poornima.edu.in</t>
  </si>
  <si>
    <t xml:space="preserve">https://www.linkedin.com/in/ravina-dhaka-998095280?utm_source=share&amp;utm_campaign=share_via&amp;utm_content=profile&amp;utm_medium=android_app
</t>
  </si>
  <si>
    <t>https://drive.google.com/file/d/1ubpecc7FdNwCUeJtv7AFKdIIUTiDkNoE/view?usp=drive_link</t>
  </si>
  <si>
    <t>2022/11050</t>
  </si>
  <si>
    <t>KAVYA GUPTA</t>
  </si>
  <si>
    <t>2022cskavya11050@poornima.edu.in</t>
  </si>
  <si>
    <t>https://www.linkedin.com/in/kavyagupta03/</t>
  </si>
  <si>
    <t>https://drive.google.com/file/d/1Ld3-bHmmYsMUGv3gHT_V5XCdzx6cfeN2/view?usp=drive_link</t>
  </si>
  <si>
    <t>2022/11341</t>
  </si>
  <si>
    <t>MEGHA MATHUR</t>
  </si>
  <si>
    <t>2022csmegha11341@poornima.edu.in</t>
  </si>
  <si>
    <t>linkedin.com/in/meghamathur17</t>
  </si>
  <si>
    <t>https://drive.google.com/file/d/1bTLCxWG0XfvPDdusfl-QivH3tU5TojHo/view?usp=drive_link</t>
  </si>
  <si>
    <t>2022/11574</t>
  </si>
  <si>
    <t>PARAS GULVANSHI</t>
  </si>
  <si>
    <t>2022csparas11574@poornima.edu.in</t>
  </si>
  <si>
    <t>http://www.linkedin.com/in/paras-gulvanshi</t>
  </si>
  <si>
    <t>https://drive.google.com/file/d/1ciguw3PgJKVqgtShLFKm1o5EzdlfNkxh/view?usp=drive_link</t>
  </si>
  <si>
    <t>2022/11427</t>
  </si>
  <si>
    <t>RAHUL CHOUHAN</t>
  </si>
  <si>
    <t>2022csrahul11427@poornima.edu.in</t>
  </si>
  <si>
    <t>https://www.linkedin.com/in/rahul-chouhan-665ab8250/</t>
  </si>
  <si>
    <t>https://drive.google.com/file/d/1WaY37WJ8aKgqWG6E4CRn9SB9d6cpubPh/view?usp=drive_link</t>
  </si>
  <si>
    <t>2022/12284</t>
  </si>
  <si>
    <t>SURYANSH SHRIVASTAVA</t>
  </si>
  <si>
    <t>2022cssuryansh12284@poornima.edu.in</t>
  </si>
  <si>
    <t>www.linkedin.com/in/suryansh-srivastava-909036291</t>
  </si>
  <si>
    <t>https://drive.google.com/file/d/1ZYSqqWDA-h6cq-KAlCxFgimDuCAErVrp/view?usp=drive_link</t>
  </si>
  <si>
    <t>PCE22CS011</t>
  </si>
  <si>
    <t>AMAN KUMAR ASWANI</t>
  </si>
  <si>
    <t>2022pcecsaman011@poornima.org</t>
  </si>
  <si>
    <t>https://www.linkedin.com/in/aman-aswani-a48a84241</t>
  </si>
  <si>
    <t>https://drive.google.com/file/d/1iv26INx5Q_ezHcr8YdQaDXsLqXxyRrue/view?usp=drive_link</t>
  </si>
  <si>
    <t>PIET22CS139</t>
  </si>
  <si>
    <t>RISHI SONI</t>
  </si>
  <si>
    <t>2022pietcsrishi139@poornima.org</t>
  </si>
  <si>
    <t>https://www.linkedin.com/in/rishi-soni-261a6b255/</t>
  </si>
  <si>
    <t>https://drive.google.com/file/d/1WwkxQtLqOA_jghd1O2SsG8gXa_983ikp/view?usp=drive_link</t>
  </si>
  <si>
    <t>PCE22CS170</t>
  </si>
  <si>
    <t>TANMAY RATHI</t>
  </si>
  <si>
    <t>GKM IT (5 LPA to 7 LPA)</t>
  </si>
  <si>
    <t>2022pcecstanmay170@poornima.org</t>
  </si>
  <si>
    <t>PCE22CS101</t>
  </si>
  <si>
    <t>NEERAJ VERMA</t>
  </si>
  <si>
    <t>BigStep Technologies (6 LPA to 8 LPA)</t>
  </si>
  <si>
    <t>2022pcecsneeraj101@poornima.org</t>
  </si>
  <si>
    <t>https://www.linkedin.com/in/neerajvermagps</t>
  </si>
  <si>
    <t>https://drive.google.com/file/d/1XAbcJ9qG4EyqqHaP6pxOZjxXSLti-UCR/view?usp=drive_link</t>
  </si>
  <si>
    <t>PCE22CS169</t>
  </si>
  <si>
    <t>TANISHA MAHAVAR</t>
  </si>
  <si>
    <t>2022pcecstanisha169@poornima.org</t>
  </si>
  <si>
    <t>https://www.linkedin.com/in/tanisha-mahavar-02ba6b25a/</t>
  </si>
  <si>
    <t>https://drive.google.com/file/d/1CS0TsHi5I7ftMgSvBDBkNk7WF9_Awe2F/view?usp=drive_link</t>
  </si>
  <si>
    <t>PCE22CY061</t>
  </si>
  <si>
    <t>VAIDEHI MANGAL</t>
  </si>
  <si>
    <t>2022pcecyvaidehi061@poornima.org</t>
  </si>
  <si>
    <t>https://www.linkedin.com/in/vaidehimangal/</t>
  </si>
  <si>
    <t>https://drive.google.com/file/d/11HjpkfjZXBaD5fn9Lqxy7mLkBmdfEHo0/view?usp=drive_link</t>
  </si>
  <si>
    <t>2022/11043</t>
  </si>
  <si>
    <t>BHAVOOK SINGH CHOUHAN</t>
  </si>
  <si>
    <t>2022btechaidsbhavook11043@poornima.edu.in</t>
  </si>
  <si>
    <t>https://www.linkedin.com/in/bhavook-singh-chouhan</t>
  </si>
  <si>
    <t>https://drive.google.com/file/d/1IEwhRBwRZ3uETwhe0SuX43FOZ-Tf0JzW/view?usp=drive_link</t>
  </si>
  <si>
    <t>2022/11962</t>
  </si>
  <si>
    <t>NAVNEET</t>
  </si>
  <si>
    <t>2022btechaidsnavneet11962@poornima.edu.in</t>
  </si>
  <si>
    <t>https://www.linkedin.com/in/navneet-9150a7245/</t>
  </si>
  <si>
    <t>https://drive.google.com/file/d/1ev5-gIX0RVtcuk87nlMUiQv1b96Xap7U/view?usp=drive_link</t>
  </si>
  <si>
    <t>PCE22CS041</t>
  </si>
  <si>
    <t>DEVANG KASHYAP</t>
  </si>
  <si>
    <t>Innovatiview India (4 LPA)</t>
  </si>
  <si>
    <t>2022pcecsdevang041@poornima.org</t>
  </si>
  <si>
    <t>PCE22CS158</t>
  </si>
  <si>
    <t>SOMYA CHATURVEDI</t>
  </si>
  <si>
    <t>2022pcecssomya158@poornima.org</t>
  </si>
  <si>
    <t>PCE22CS502</t>
  </si>
  <si>
    <t>SURAJ PARIHAR</t>
  </si>
  <si>
    <t>2022pcecssuraj502@poornima.org</t>
  </si>
  <si>
    <t>PCE22CR015</t>
  </si>
  <si>
    <t>GAURAV SHARMA</t>
  </si>
  <si>
    <t>2022pcecrgaurav015@poornima.org</t>
  </si>
  <si>
    <t>PIET22CS111</t>
  </si>
  <si>
    <t>NAMAN JAIN</t>
  </si>
  <si>
    <t>2022pietcsnaman111@poornima.org</t>
  </si>
  <si>
    <t>PIET22CD001</t>
  </si>
  <si>
    <t>AAKRATI JANGID</t>
  </si>
  <si>
    <t>2022pietcdaakrati001@poornima.org</t>
  </si>
  <si>
    <t>PIET22CR034</t>
  </si>
  <si>
    <t>Naman,</t>
  </si>
  <si>
    <t>2022pietcrkirti034@poornima.org</t>
  </si>
  <si>
    <t>PIET22CR048</t>
  </si>
  <si>
    <t>SANJANA VARYANI</t>
  </si>
  <si>
    <t>2022pietcrsanjana048@poornima.org</t>
  </si>
  <si>
    <t>2022/11554</t>
  </si>
  <si>
    <t>DEVENDRA KURDIYA</t>
  </si>
  <si>
    <t>B.Tech Civil</t>
  </si>
  <si>
    <t>2022civdevendra11554@poornima.edu.in</t>
  </si>
  <si>
    <t>2022/11332</t>
  </si>
  <si>
    <t>MANTHAN BHARDWAJ</t>
  </si>
  <si>
    <t>2022csmanthan11332@poornima.edu.in</t>
  </si>
  <si>
    <t>2022/12510</t>
  </si>
  <si>
    <t>RAVINDRA SINGH</t>
  </si>
  <si>
    <t>2022csravindra12510@poornima.edu.in</t>
  </si>
  <si>
    <t>2022/11533</t>
  </si>
  <si>
    <t>AKHIL SHARMA</t>
  </si>
  <si>
    <t>2022btechcsbakhil11533@poornima.edu.in</t>
  </si>
  <si>
    <t>PCE22CS021</t>
  </si>
  <si>
    <t>ARPIT AGRAWAL</t>
  </si>
  <si>
    <t>Celebal Technologies (Campus Hiring) (7 LPA)</t>
  </si>
  <si>
    <t>2022pcecsarpit021@poornima.org</t>
  </si>
  <si>
    <t>https://www.linkedin.com/in/arpit-agrawal-564410256/</t>
  </si>
  <si>
    <t>https://drive.google.com/file/d/1lXtHEOJf-qhYio1msi47o4WiKFsIYHaH/view?usp=drive_link</t>
  </si>
  <si>
    <t>PCE22EE018</t>
  </si>
  <si>
    <t>KIRAN SHEKHAWAT</t>
  </si>
  <si>
    <t>2022pcecskiran303@poornima.org</t>
  </si>
  <si>
    <t>www.linkedin.com/in/kiranshekhawat</t>
  </si>
  <si>
    <t>https://drive.google.com/file/d/1fFSOuc_FGh7W0peA74ptpTHCEWmXEmWb/view?usp=drive_link</t>
  </si>
  <si>
    <t>PCE22CS155</t>
  </si>
  <si>
    <t>SNEHA AGARWAL</t>
  </si>
  <si>
    <t>2022pcecssneha155@poornima.org</t>
  </si>
  <si>
    <t>https://www.linkedin.com/in/sneha-agarwal-87b249255/</t>
  </si>
  <si>
    <t>https://drive.google.com/file/d/1a88eUbO6TCYSYgmNw5rdKzvcyam7Y_LX/view?usp=drive_link</t>
  </si>
  <si>
    <t>PCE22CS165</t>
  </si>
  <si>
    <t>SWARNIM KUMAR LOHANI</t>
  </si>
  <si>
    <t>2022pcecsswarnim165@poornima.org</t>
  </si>
  <si>
    <t>https://www.linkedin.com/in/swarnim-kumar-lohani-442310277?utm_source=share&amp;utm_campaign=share_via&amp;utm_content=profile&amp;utm_medium=android_app</t>
  </si>
  <si>
    <t>https://drive.google.com/file/d/1WI4fP748nfAR3l-r9WktMDCy29H2b3G2/view?usp=drive_link</t>
  </si>
  <si>
    <t>PCE22CA006</t>
  </si>
  <si>
    <t>ANKIT KUMAR</t>
  </si>
  <si>
    <t>2022pcecaankit006@poornima.org</t>
  </si>
  <si>
    <t>https://www.linkedin.com/in/ankit-kumar-46b887256</t>
  </si>
  <si>
    <t>https://drive.google.com/file/d/10PAP4iCfZlPeW0WC7vRJ6C3Aj67ZoHt_/view?usp=drive_link</t>
  </si>
  <si>
    <t>PCE22IT049</t>
  </si>
  <si>
    <t>SUNNY SHARMA</t>
  </si>
  <si>
    <t>Infosys (HackWithInfy) (6.25 LPA)</t>
  </si>
  <si>
    <t>2022pceitsunny049@poornima.org</t>
  </si>
  <si>
    <t>https://www.linkedin.com/in/sunny-sharma-0b5780257.</t>
  </si>
  <si>
    <t>https://drive.google.com/file/d/1qhSnwx7GIdKVatqug8SyohykFzFptOXh/view?usp=drive_link</t>
  </si>
  <si>
    <t>PIET22CS030</t>
  </si>
  <si>
    <t>ARPITA GARG</t>
  </si>
  <si>
    <t>2022pietcsarpita030@poornima.org</t>
  </si>
  <si>
    <t xml:space="preserve">https://www.linkedin.com/in/arpita-garg-035931263?utm_source=share&amp;utm_campaign=share_via&amp;utm_content=profile&amp;utm_medium=android_app
</t>
  </si>
  <si>
    <t>https://drive.google.com/file/d/1mV9Vtsiv5oL-GjTb6uRGOuGIGp6_vM6_/view?usp=drive_link</t>
  </si>
  <si>
    <t>PIET22CS017</t>
  </si>
  <si>
    <t>ANIRUDH SHARMA</t>
  </si>
  <si>
    <t>2022pietcsanirudh017@poornima.org</t>
  </si>
  <si>
    <t>https://www.linkedin.com/in/anirudhsharma17</t>
  </si>
  <si>
    <t>https://drive.google.com/file/d/1pboreU02lYWyXKlMYU3nJW7LA_AOmwW3/view?usp=drive_link</t>
  </si>
  <si>
    <t>PCE22EE008</t>
  </si>
  <si>
    <t>MOHAMMED AMAAN</t>
  </si>
  <si>
    <t>B.Tech EE</t>
  </si>
  <si>
    <t>Danish Power (3 LPA)</t>
  </si>
  <si>
    <t>2022pceeemohammed008@poornima.org</t>
  </si>
  <si>
    <t>PCE22ME009</t>
  </si>
  <si>
    <t>GAURAV JANGID</t>
  </si>
  <si>
    <t>B.Tech ME</t>
  </si>
  <si>
    <t>2022pcemegaurav009@poornima.org</t>
  </si>
  <si>
    <t>PCE22CS134</t>
  </si>
  <si>
    <t>SAKSHI JAIN</t>
  </si>
  <si>
    <t>CRM Landing (5.5 LPA)</t>
  </si>
  <si>
    <t>2022pcecssakshi134@poornima.org</t>
  </si>
  <si>
    <t>https://www.linkedin.com/in/sakshi-jain-24a8b0257/</t>
  </si>
  <si>
    <t>https://drive.google.com/file/d/1qmYIn_dCA9GRuStYmJGPjRzquZgUh6pE/view?usp=drive_link</t>
  </si>
  <si>
    <t>PCE22CS148</t>
  </si>
  <si>
    <t>SHIVANSHU KUMAR</t>
  </si>
  <si>
    <t>2022pcecsshivanshu148@poornima.org</t>
  </si>
  <si>
    <t>https://www.linkedin.com/in/shivanshu-kumar-477a18255?utm_source=share&amp;utm_campaign=share_via&amp;utm_content=profile&amp;utm_medium=android_app</t>
  </si>
  <si>
    <t>https://drive.google.com/file/d/1lAYdsyc-9OWxXZACYgiuhDO20hsFHVH-/view?usp=drive_link</t>
  </si>
  <si>
    <t>PCE22CR040</t>
  </si>
  <si>
    <t>NIKHIL JAIN</t>
  </si>
  <si>
    <t>2022pcecrnikhil040@poornima.org</t>
  </si>
  <si>
    <t>https://www.linkedin.com/in/nikhil-jain-b49518277?utm_source=share&amp;utm_campaign=share_via&amp;utm_content=profile&amp;utm_medium=android_app</t>
  </si>
  <si>
    <t>https://drive.google.com/file/d/15IuVd-xcWDBV9Wmwoy_JOXdJlO-InpPx/view?usp=drive_link</t>
  </si>
  <si>
    <t>PCE22CR064</t>
  </si>
  <si>
    <t>YOGESH KUMAR SHARMA</t>
  </si>
  <si>
    <t>2022pcecryogesh064@poornima.org</t>
  </si>
  <si>
    <t>https://www.linkedin.com/in/yogesh-kumar-sharma-195b52256?utm_source=share&amp;utm_campaign=share_via&amp;utm_content=profile&amp;utm_medium=ios_app</t>
  </si>
  <si>
    <t>https://drive.google.com/file/d/1WvogeCNwFqeMRqHd9PqTf3v_dzm6Ps-w/view?usp=drive_link</t>
  </si>
  <si>
    <t>2022/12841</t>
  </si>
  <si>
    <t>HITIKSHA JAIN</t>
  </si>
  <si>
    <t>2022cshitiksha12841@poornima.edu.in</t>
  </si>
  <si>
    <t>https://www.linkedin.com/in/hitiksha-jain-700891263/</t>
  </si>
  <si>
    <t>https://drive.google.com/file/d/1KVwrftn-y2xcNMaBfBVuCvE_EIDbEFnW/view?usp=drive_link</t>
  </si>
  <si>
    <t>2022/12781</t>
  </si>
  <si>
    <t>KANISHT JAIN</t>
  </si>
  <si>
    <t>2022cskanisht12781@poornima.edu.in</t>
  </si>
  <si>
    <t>https://www.linkedin.com/in/kanisht-jain-69030b260</t>
  </si>
  <si>
    <t>https://drive.google.com/file/d/1zazaTN4BXmftOCsRUS_EIVYi1I_sodrQ/view?usp=drive_link</t>
  </si>
  <si>
    <t>PCE22AD015</t>
  </si>
  <si>
    <t>ARYAN SONI</t>
  </si>
  <si>
    <t>B.Tech CS (AI&amp;DS) (SFS)</t>
  </si>
  <si>
    <t>2022pceadaryan015@poornima.org</t>
  </si>
  <si>
    <t xml:space="preserve">https://www.linkedin.com/in/aryan-soni182004 </t>
  </si>
  <si>
    <t>https://drive.google.com/file/d/1x6u3fou0kRX6Zsi0byjjFsufryBmkgx_/view?usp=drive_link</t>
  </si>
  <si>
    <t>PCE22CR011</t>
  </si>
  <si>
    <t>ATHARVA SRIVASTAVA</t>
  </si>
  <si>
    <t>2022pcecyatharva300@poornima.org</t>
  </si>
  <si>
    <t>www.linkedin.com/in/atharva0309</t>
  </si>
  <si>
    <t>https://drive.google.com/file/d/19CTQ_IEk6BATyJB4zqULczG2zbg7WzAA/view?usp=drive_link</t>
  </si>
  <si>
    <t>PCE22CY051</t>
  </si>
  <si>
    <t>SACHIN</t>
  </si>
  <si>
    <t>B.Tech CS (CY) (SFS)</t>
  </si>
  <si>
    <t>J3</t>
  </si>
  <si>
    <t>2022pcecysachin051@poornima.org</t>
  </si>
  <si>
    <t>2024/19233</t>
  </si>
  <si>
    <t>VAIBHAV SHARMA</t>
  </si>
  <si>
    <t>Celebal Technologies (Campus Hiring) (6 LPA)</t>
  </si>
  <si>
    <t>2024mcaaimlvaibhav19233@poornima.edu.in</t>
  </si>
  <si>
    <t>2022/12074</t>
  </si>
  <si>
    <t>PRANAV LATA</t>
  </si>
  <si>
    <t>2022btechaidspranav12074@poornima.edu.in</t>
  </si>
  <si>
    <t>www.linkedin.com/in/pranav-lata-7329b5267</t>
  </si>
  <si>
    <t>https://drive.google.com/file/d/12MZwBF3Rhk2amZySmjPAy-W7oIJqvenG/view?usp=drive_link</t>
  </si>
  <si>
    <t>PCE22CS007</t>
  </si>
  <si>
    <t>ADITYA MURARI</t>
  </si>
  <si>
    <t>Cyntexa Labs (5 LPA)</t>
  </si>
  <si>
    <t>2022pcecsaditya007@poornima.org</t>
  </si>
  <si>
    <t>https://www.linkedin.com/in/aditya-murari-81bb09256/</t>
  </si>
  <si>
    <t>https://drive.google.com/file/d/12NYSx3nSOG5_SbpqiRF40gAt40iisQ0f/view?usp=drive_link</t>
  </si>
  <si>
    <t>PCE22CS012</t>
  </si>
  <si>
    <t>AMAN SHIVDASANI</t>
  </si>
  <si>
    <t>2022pcecsaman012@poornima.org</t>
  </si>
  <si>
    <t>https://www.linkedin.com/in/aman-shivdasani-948856253</t>
  </si>
  <si>
    <t>https://drive.google.com/file/d/1c-Rwiix7daVAYIH2kCmaM-MS35j8f3JI/view?usp=drive_link</t>
  </si>
  <si>
    <t>PCE22CS014</t>
  </si>
  <si>
    <t>ANJALI GOYAL</t>
  </si>
  <si>
    <t>2022pcecsanjali014@poornima.org</t>
  </si>
  <si>
    <t>https://www.linkedin.com/in/anjali-goyal11</t>
  </si>
  <si>
    <t>https://drive.google.com/file/d/1Zbt2TWQ4YrpzsA0oXjVGOCwHJajZcCdl/view?usp=drive_link</t>
  </si>
  <si>
    <t>PCE22CS016</t>
  </si>
  <si>
    <t>ANMOL BABEL</t>
  </si>
  <si>
    <t>2022pcecsanmol016@poornima.org</t>
  </si>
  <si>
    <t>https://www.linkedin.com/in/anmol-babel-a777b4253/</t>
  </si>
  <si>
    <t>https://drive.google.com/file/d/1EEooF25oLtQNvuhPl5jjMX1voZKXNK3i/view?usp=drive_link</t>
  </si>
  <si>
    <t>PCE22CS017</t>
  </si>
  <si>
    <t>ANSHUL SHARMA</t>
  </si>
  <si>
    <t>2022pcecsanshul017@poornima.org</t>
  </si>
  <si>
    <t>https://www.linkedin.com/in/nameisansh</t>
  </si>
  <si>
    <t>https://drive.google.com/file/d/1fqJbiszTHngFhRP1uZoFQFP-wfnuXUt1/view?usp=drive_link</t>
  </si>
  <si>
    <t>PCE22EC008</t>
  </si>
  <si>
    <t>DEEPAK DEWATWAL</t>
  </si>
  <si>
    <t>2022pcecsdeepak302@poornima.org</t>
  </si>
  <si>
    <t>https://www.linkedin.com/in/deepak-dewatwal-27762124a/</t>
  </si>
  <si>
    <t>https://drive.google.com/file/d/1ymnq8pYyyhjJV5FThGDER8eIHkOn8Qcj/view?usp=drive_link</t>
  </si>
  <si>
    <t>PCE22CS042</t>
  </si>
  <si>
    <t>DEVENDRA VIJAY</t>
  </si>
  <si>
    <t>2022pcecsdevendra042@poornima.org</t>
  </si>
  <si>
    <t>https://www.linkedin.com/in/devendra-vijay121</t>
  </si>
  <si>
    <t>https://drive.google.com/file/d/173brMl8BEiLJ34T-NQ_qOrylZEx1CQtF/view?usp=drive_link</t>
  </si>
  <si>
    <t>PCE22CR061</t>
  </si>
  <si>
    <t>VIKAS SINGH SHEKHAWAT</t>
  </si>
  <si>
    <t>2022pcecsvikas301@poornima.org</t>
  </si>
  <si>
    <t>https://www.linkedin.com/in/vikas-singh-shekhawat</t>
  </si>
  <si>
    <t>https://drive.google.com/file/d/1mCYxRhZaHtv0ID9IPLGu1qPgIStUMrOX/view?usp=drive_link</t>
  </si>
  <si>
    <t>PCE22AD054</t>
  </si>
  <si>
    <t>SPARSH JAIN</t>
  </si>
  <si>
    <t>2022pceadsparsh054@poornima.org</t>
  </si>
  <si>
    <t>www.linkedin.com/in/sparshjain93</t>
  </si>
  <si>
    <t>https://drive.google.com/file/d/1Hml6KPJWSXarBWLxeNj9kuWMyY4ZoBTU/view?usp=drive_link</t>
  </si>
  <si>
    <t>PCE22CA027</t>
  </si>
  <si>
    <t>KHUSHBOO SUTHAR</t>
  </si>
  <si>
    <t>2022pcecakhushboo027@poornima.org</t>
  </si>
  <si>
    <t>https://www.linkedin.com/in/khushboo-suthar-b33816347?utm_source=share&amp;utm_campaign=share_via&amp;utm_content=profile&amp;utm_medium=android_app</t>
  </si>
  <si>
    <t>https://drive.google.com/file/d/1H0b8u86jokc2bYzbA_2bwd-tQWJ4EE_o/view?usp=drive_link</t>
  </si>
  <si>
    <t>PCE22CA051</t>
  </si>
  <si>
    <t>SHAILY SHARMA</t>
  </si>
  <si>
    <t>2022pcecashaily051@poornima.org</t>
  </si>
  <si>
    <t>https://www.linkedin.com/in/shaily-sharma-334896256/</t>
  </si>
  <si>
    <t>https://drive.google.com/file/d/1Idds--QFk7dQLjcyTfhbeSeEcbBCvWLS/view?usp=drive_link</t>
  </si>
  <si>
    <t>PIET22CS502</t>
  </si>
  <si>
    <t>CHAHAT GUPTA</t>
  </si>
  <si>
    <t>2022pietcschahat502@poornima.org</t>
  </si>
  <si>
    <t>https://www.linkedin.com/in/chahat-gupta-712878256</t>
  </si>
  <si>
    <t>https://drive.google.com/file/d/1euzugN1nNmAmZx5frA0fWtCf7V0y4mfm/view?usp=drive_link</t>
  </si>
  <si>
    <t>PIET22CS048</t>
  </si>
  <si>
    <t>DEVANSH SHARMA</t>
  </si>
  <si>
    <t>2022pietcsdevansh048@poornima.org</t>
  </si>
  <si>
    <t>https://www.linkedin.com/in/devansh-sharma-8825a1256/</t>
  </si>
  <si>
    <t>https://drive.google.com/file/d/1j7rx7CJXFYp7B5U7flDhD3_wtdhzRuCG/view?usp=drive_link</t>
  </si>
  <si>
    <t>PIET22CS052</t>
  </si>
  <si>
    <t>DHRUV JAIN</t>
  </si>
  <si>
    <t>2022pietcsdhruv052@poornima.org</t>
  </si>
  <si>
    <t>https://www.linkedin.com/in/dhruvv-jain/</t>
  </si>
  <si>
    <t>https://drive.google.com/file/d/1wr1uMiJSSlYFXiSEp_M55u8s6Pfwa180/view?usp=drive_link</t>
  </si>
  <si>
    <t>PIET22CA022</t>
  </si>
  <si>
    <t>GAURAV SINGH</t>
  </si>
  <si>
    <t>F</t>
  </si>
  <si>
    <t>2022pietcagaurav022@poornima.org</t>
  </si>
  <si>
    <t>https://www.linkedin.com/in/gaurav-singh-18b52024b/</t>
  </si>
  <si>
    <t>https://drive.google.com/file/d/1M9l0fCp3P6uMBqMtNI8TvhNwJT3kFY4K/view?usp=drive_link</t>
  </si>
  <si>
    <t>PIET22CD054</t>
  </si>
  <si>
    <t>SIMRAN JETHWANI</t>
  </si>
  <si>
    <t>2022pietcdsimran054@poornima.org</t>
  </si>
  <si>
    <t>https://www.linkedin.com/in/simran-jethwani-05a99827b</t>
  </si>
  <si>
    <t>https://drive.google.com/file/d/1YHhzWf5EC8EcfiMgoOMafieJ2I_J1_Qu/view?usp=drive_link</t>
  </si>
  <si>
    <t>PIET22CR022</t>
  </si>
  <si>
    <t>GAURI SINGHAL</t>
  </si>
  <si>
    <t>2022pietcrgauri022@poornima.org</t>
  </si>
  <si>
    <t>https://www.linkedin.com/in/gauri26singhal/</t>
  </si>
  <si>
    <t>https://drive.google.com/file/d/18XPsqqI-cWtLHMdS2bzI-vgbOtfzCUvs/view?usp=drive_link</t>
  </si>
  <si>
    <t>2022/12836</t>
  </si>
  <si>
    <t>TWINKLE GUPTA</t>
  </si>
  <si>
    <t>2022btechaidstwinkle12836@poornima.edu.in</t>
  </si>
  <si>
    <t>https://www.linkedin.com/in/twinkle-gupta-ba8718228</t>
  </si>
  <si>
    <t>https://drive.google.com/file/d/14xW1iGS735824Hs_qXBOQ0SeAFrY64Tf/view?usp=drive_link</t>
  </si>
  <si>
    <t>2022/11498</t>
  </si>
  <si>
    <t>YASH HEMNANI</t>
  </si>
  <si>
    <t>B.Tech CS (CT&amp;FSD)</t>
  </si>
  <si>
    <t>2022btechccfsyash11498@poornima.edu.in</t>
  </si>
  <si>
    <t xml:space="preserve">https://www.linkedin.com/in/yash-hemnani-yh25 </t>
  </si>
  <si>
    <t>https://drive.google.com/file/d/1jvZXazj-Syq3BC4YY5DPzUbdwWYepLZp/view?usp=drive_link</t>
  </si>
  <si>
    <t>PCE22CS076</t>
  </si>
  <si>
    <t>KUSHAL RAJ PAREEK</t>
  </si>
  <si>
    <t>Josh Technology Group (Phase-IV) (13.23 LPA)</t>
  </si>
  <si>
    <t>2022pcecskushal076@poornima.org</t>
  </si>
  <si>
    <t>https://www.linkedin.com/in/kushal-raj-pareek/</t>
  </si>
  <si>
    <t>https://drive.google.com/file/d/1WZg7fWWKih0TueZv_CaBgirJVZLcHUbo/view?usp=drive_link</t>
  </si>
  <si>
    <t>PCE22CS027</t>
  </si>
  <si>
    <t>BHUMEY DADHEECH</t>
  </si>
  <si>
    <t>MediaAmp (Phase-II) (6.5 LPA)</t>
  </si>
  <si>
    <t>2022pcecsbhumey027@poornima.org</t>
  </si>
  <si>
    <t>https://www.linkedin.com/in/bhumey</t>
  </si>
  <si>
    <t>https://drive.google.com/file/d/1R-SqYOBCa8gl-J1GnIYIbFprv2y9Elf9/view?usp=drive_link</t>
  </si>
  <si>
    <t>PCE22CS099</t>
  </si>
  <si>
    <t>NAMAN JOSHI</t>
  </si>
  <si>
    <t>2022pcecsnaman099@poornima.org</t>
  </si>
  <si>
    <t>PCE22CS183</t>
  </si>
  <si>
    <t>VIPUL SHARMA</t>
  </si>
  <si>
    <t>2022pcecsvipul183@poornima.org</t>
  </si>
  <si>
    <t>https://www.linkedin.com/in/vipul-sharma-156259257</t>
  </si>
  <si>
    <t>https://drive.google.com/file/d/1pQDGALzDi9BViCPrn5CaoQ_fj4qeVbS7/view?usp=drive_link</t>
  </si>
  <si>
    <t>PCE22CA024</t>
  </si>
  <si>
    <t>KANISHKA JINGAR</t>
  </si>
  <si>
    <t>2022pcecakanishka024@poornima.org</t>
  </si>
  <si>
    <t>https://www.linkedin.com/in/kanishka-jingar-85b02824b</t>
  </si>
  <si>
    <t>https://drive.google.com/file/d/1c5gnFNV4NEQwOo6NPrqobCpSsLOcjy5y/view?usp=drive_link</t>
  </si>
  <si>
    <t>PCE22CA040</t>
  </si>
  <si>
    <t>MUSKAN TAK</t>
  </si>
  <si>
    <t>2022pcecamuskan040@poornima.org</t>
  </si>
  <si>
    <t>https://www.linkedin.com/in/muskan-tak-503498277</t>
  </si>
  <si>
    <t>https://drive.google.com/file/d/1b--K1HYRAtO56WHbGV_UHZQSeVjehf4e/view?usp=drive_link</t>
  </si>
  <si>
    <t>PCE22CA054</t>
  </si>
  <si>
    <t>SHUBHRA JAIN</t>
  </si>
  <si>
    <t>2022pcecashubhra054@poornima.org</t>
  </si>
  <si>
    <t>https://www.linkedin.com/in/shubhra-jain12</t>
  </si>
  <si>
    <t>https://drive.google.com/file/d/1cOWuwj1O0a_CYeN5z93d-NA9UVBJffMV/view?usp=drive_link</t>
  </si>
  <si>
    <t>PIET22CD037</t>
  </si>
  <si>
    <t>LOCHAN JHALANI</t>
  </si>
  <si>
    <t>2022pietcdlochan037@poornima.org</t>
  </si>
  <si>
    <t>https://www.linkedin.com/in/lochan-jhalani-552084252</t>
  </si>
  <si>
    <t>https://drive.google.com/file/d/1cigsPNY5usmpkJDMVbZ_VeLzuKVe7Vvp/view?usp=drive_link</t>
  </si>
  <si>
    <t>PIET22CD056</t>
  </si>
  <si>
    <t>TEJAS JAIN</t>
  </si>
  <si>
    <t>2022pietcdtejas056@poornima.org</t>
  </si>
  <si>
    <t>http://www.linkedin.com/in/tejas-jain-44a001261</t>
  </si>
  <si>
    <t>https://drive.google.com/file/d/1rzcPv4ax-WtUngT6VkF5PCIbQJv5WlYX/view?usp=drive_link</t>
  </si>
  <si>
    <t>2022/12129</t>
  </si>
  <si>
    <t>AVINASH SHARMA</t>
  </si>
  <si>
    <t>2022csavinash12129@poornima.edu.in</t>
  </si>
  <si>
    <t>https://www.linkedin.com/in/avinash-sharma-56114a256</t>
  </si>
  <si>
    <t>https://drive.google.com/file/d/1Ggk3vJ3r00XF-YiROn9t5ytHc06UMfwj/view?usp=drive_link</t>
  </si>
  <si>
    <t>2022/12297</t>
  </si>
  <si>
    <t>KRISHNENDU DUBEY</t>
  </si>
  <si>
    <t>2022cskrishnendu12297@poornima.edu.in</t>
  </si>
  <si>
    <t>https://www.linkedin.com/in/krishnendu-dubey-410851273?utm_source=share&amp;utm_campaign=share_via&amp;utm_content=profile&amp;utm_medium=android_app</t>
  </si>
  <si>
    <t>https://drive.google.com/file/d/1zLlToAVHmGc_QZIa1iumI-zd_V9-zUXm/view?usp=drive_link</t>
  </si>
  <si>
    <t>2022/11609</t>
  </si>
  <si>
    <t>MANTHAN</t>
  </si>
  <si>
    <t>2022csmanthan11609@poornima.edu.in</t>
  </si>
  <si>
    <t xml:space="preserve">https://www.linkedin.com/in/manthan-bariya-73643b291?utm_source=share&amp;utm_campaign=share_via&amp;utm_content=profile&amp;utm_medium=android_app
</t>
  </si>
  <si>
    <t>https://drive.google.com/file/d/1pryuROnl05RiBbKcDqZhMbCIlgfn9rw-/view?usp=drive_link</t>
  </si>
  <si>
    <t>2022/13158</t>
  </si>
  <si>
    <t>RAHUL CHOUDHARY</t>
  </si>
  <si>
    <t>2022csrahul1318@poornima.edu.in</t>
  </si>
  <si>
    <t>https://www.linkedin.com/in/rahul-choudhary-5b0152260?utm_source=share&amp;utm_campaign=share_via&amp;utm_content=profile&amp;utm_medium=android_app</t>
  </si>
  <si>
    <t>https://drive.google.com/file/d/1PsPhwT0UX6kyQ9AJlkpP48YRYv-42-Hz/view?usp=drive_link</t>
  </si>
  <si>
    <t>2022/13067</t>
  </si>
  <si>
    <t>SAKET SAURAV</t>
  </si>
  <si>
    <t>2022btechaidssaket13067@poornima.edu.in</t>
  </si>
  <si>
    <t>2022/12036</t>
  </si>
  <si>
    <t>VATSAL SHUKLA</t>
  </si>
  <si>
    <t>2022btechccfsvatsal12036@poornima.edu.in</t>
  </si>
  <si>
    <t>http://linkedin.com/in/vatsal-shukla-a660a1237</t>
  </si>
  <si>
    <t>https://drive.google.com/file/d/1xVv46ow_gkTmuQdF8oB-SzXOeDTuxv9n/view?usp=drive_link</t>
  </si>
  <si>
    <t>PCE22CS005</t>
  </si>
  <si>
    <t>ADITI CHOUDHARY</t>
  </si>
  <si>
    <t>2022pcecsaditi005@poornima.org</t>
  </si>
  <si>
    <t>https://www.linkedin.com/in/aditi-choudhary-a25a2525a</t>
  </si>
  <si>
    <t>https://drive.google.com/file/d/1aNbwXcO8dIzWZ9Wmr5qzdbrBJGcgDOgR/view?usp=drive_link</t>
  </si>
  <si>
    <t>PCE22CY041</t>
  </si>
  <si>
    <t>NISHCHAL SHARMA</t>
  </si>
  <si>
    <t>ThoughtsWin Systems (5.5 LPA)</t>
  </si>
  <si>
    <t>2022pcecynishchal041@poornima.org</t>
  </si>
  <si>
    <t>https://www.linkedin.com/in/nishchal-sharma-9b980b201/</t>
  </si>
  <si>
    <t>https://drive.google.com/file/d/11O41fKXGWHHCkc9WiFNsbfkpgEW1A4DE/view?usp=drive_link</t>
  </si>
  <si>
    <t>PIET22CS075</t>
  </si>
  <si>
    <t>JATIN NAMA</t>
  </si>
  <si>
    <t>2022pietcsjatin075@poornima.org</t>
  </si>
  <si>
    <t>https://www.linkedin.com/in/jatin-nama</t>
  </si>
  <si>
    <t>https://drive.google.com/file/d/11ThYoZ2D8DGtZ1KWpsfxRMP5NGo4iGPK/view?usp=drive_link</t>
  </si>
  <si>
    <t>PIET22CS086</t>
  </si>
  <si>
    <t>KRISHAN KANT</t>
  </si>
  <si>
    <t>2022pietcskrishan086@poornima.org</t>
  </si>
  <si>
    <t>https://www.linkedin.com/in/krishan-kant-dadhich-a07307255/</t>
  </si>
  <si>
    <t>https://drive.google.com/file/d/1RLZtkW7HV6c-qfBi9ZWQE96GC3HcbJnx/view?usp=drive_link</t>
  </si>
  <si>
    <t>2022/12090</t>
  </si>
  <si>
    <t>SANDEEP SINGH NARUKA</t>
  </si>
  <si>
    <t>2022btechaidssandeep12090@poornima.edu.in</t>
  </si>
  <si>
    <t>www.linkedin.com/in/sandeep-singh-naruka-90972428b</t>
  </si>
  <si>
    <t>https://drive.google.com/file/d/1ax3IgnxlBEN4N639ZYkEGK3V1uXRX79Y/view?usp=drive_link</t>
  </si>
  <si>
    <t>S. No.</t>
  </si>
  <si>
    <t>Course</t>
  </si>
  <si>
    <t>Off-Campus S6 ISSUED</t>
  </si>
  <si>
    <t>2022/12165</t>
  </si>
  <si>
    <t>ABHIJITH SOMAN</t>
  </si>
  <si>
    <t>B.Tech</t>
  </si>
  <si>
    <t>Off Campus :: Gardiyan System Security Technologies (52.83 LPA)</t>
  </si>
  <si>
    <t>2022btechcsbabhijith12165@poornima.edu.in</t>
  </si>
  <si>
    <t>https://www.linkedin.com/in/abhijith-soman-5b597225b/</t>
  </si>
  <si>
    <t>https://drive.google.com/file/d/18zmx1bLtTUFFfbHbCWSMlPp4yKx2cVs6/view?usp=drive_link</t>
  </si>
  <si>
    <t>2022/12316</t>
  </si>
  <si>
    <t>MANAN CHANDNA</t>
  </si>
  <si>
    <t>Off Campus :: Gardiyan System Security Technologies (29.72 LPA)</t>
  </si>
  <si>
    <t>2022btechaidsmanan12316@poornima.edu.in</t>
  </si>
  <si>
    <t>https://www.linkedin.com/in/manan-chandna-697588257/</t>
  </si>
  <si>
    <t>https://drive.google.com/file/d/1e1_CfyuwxbQ0X2zg_KzeuRIcUPptm-yB/view?usp=drive_link</t>
  </si>
  <si>
    <t>PCE22CS058</t>
  </si>
  <si>
    <t>HIMANK SHARMA</t>
  </si>
  <si>
    <t>Off Campus :: Karban Envirotech (3.6 LPA)</t>
  </si>
  <si>
    <t>2022pcecshimank058@poornima.org</t>
  </si>
  <si>
    <t>2022/11720</t>
  </si>
  <si>
    <t>HIMADRI SINGH</t>
  </si>
  <si>
    <t>Off Campus :: Gardiyan System Security Technologies (24.89 LPA to 34.84 LPA)</t>
  </si>
  <si>
    <t>2022btechcsbhimandri11720@poornima.edu.in</t>
  </si>
  <si>
    <t>www.linkedin.com/in/himadri-singh-6a6927261</t>
  </si>
  <si>
    <t>https://drive.google.com/file/d/1wuwqi59xIEdFr0-GKQemCouCFr3p8tOj/view?usp=drive_link</t>
  </si>
  <si>
    <t>2022/11589</t>
  </si>
  <si>
    <t>NAVEEN KUMAR</t>
  </si>
  <si>
    <t>2022btechcsbnaveen11589@poornima.edu.in</t>
  </si>
  <si>
    <t>https://www.linkedin.com/in/kumar--naveen/</t>
  </si>
  <si>
    <t>https://drive.google.com/file/d/1PVIP6En0B5NMld-n07OAKyCrTDGeEU9S/view?usp=drive_link</t>
  </si>
  <si>
    <t>2022/12328</t>
  </si>
  <si>
    <t>YASH RATHORE</t>
  </si>
  <si>
    <t>2022btechcsbyash12328@poornima.edu.in</t>
  </si>
  <si>
    <t>http://www.linkedin.com/in/yash--rathore</t>
  </si>
  <si>
    <t>https://drive.google.com/file/d/1ez9NztwA3mAGzkoIE0Pn2ffDn49rbixh/view?usp=drive_link</t>
  </si>
  <si>
    <t>2022/12861</t>
  </si>
  <si>
    <t>YOGENDRA JAIN</t>
  </si>
  <si>
    <t>2022btechcsbyogendra12861@poornima.edu.in</t>
  </si>
  <si>
    <t>https://www.linkedin.com/in/yogendrajain/</t>
  </si>
  <si>
    <t>https://drive.google.com/file/d/1G9HdXgKKU4VqdYlB1o-6j8WHy-qQUstZ/view?usp=drive_link</t>
  </si>
  <si>
    <t>2022/11167</t>
  </si>
  <si>
    <t>RITIKA KUMARI SHARMA</t>
  </si>
  <si>
    <t>2022btechcsbritika11167@poornima.edu.in</t>
  </si>
  <si>
    <t>www.linkedin.com/in/ritika-sharma-b61525261</t>
  </si>
  <si>
    <t>https://drive.google.com/file/d/1J1Hu9Y59ky06UYNed-MFSYcmWKvDlYzK/view?usp=drive_link</t>
  </si>
  <si>
    <t>2023/14510</t>
  </si>
  <si>
    <t>JESSIKA CHHATWANI</t>
  </si>
  <si>
    <t>BCA (MA &amp; FSD)</t>
  </si>
  <si>
    <t>Off Campus :: GKM IT (4 LPA)</t>
  </si>
  <si>
    <t>2023bcamafsjessika14510@poornima.edu.in</t>
  </si>
  <si>
    <t>2022/11226</t>
  </si>
  <si>
    <t>AMIT GURJAR</t>
  </si>
  <si>
    <t>Off Campus :: BlueBrain Strategy (3 LPA)</t>
  </si>
  <si>
    <t>2022csamit11226@poornima.edu.in</t>
  </si>
  <si>
    <t>2022/11982</t>
  </si>
  <si>
    <t>PRATEEK SHARMA</t>
  </si>
  <si>
    <t>Off Campus :: Collegedunia (5.5 LPA)</t>
  </si>
  <si>
    <t>2022btechaidsprateek11982@poornima.edu.in</t>
  </si>
  <si>
    <t>https://www.linkedin.com/in/prateek-sharma19</t>
  </si>
  <si>
    <t>https://drive.google.com/file/d/1t7Rn263lGRwRDskHTsVvodSzrdEnAWIn/view?usp=drive_link</t>
  </si>
  <si>
    <t>2022/11951</t>
  </si>
  <si>
    <t>DIVYANSHU UPADHYAY</t>
  </si>
  <si>
    <t>Off Campus :: Anchors (4 LPA to 6 LPA)</t>
  </si>
  <si>
    <t>2022btechccfsdivyanshu11951@poornima.edu.in</t>
  </si>
  <si>
    <t>2022/13203</t>
  </si>
  <si>
    <t>ROHAN RAIDANI</t>
  </si>
  <si>
    <t>Off Campus :: Zouston Tech (4 LPA)</t>
  </si>
  <si>
    <t>2022csrohan13203@poornima.edu.in</t>
  </si>
  <si>
    <t>2022/10741</t>
  </si>
  <si>
    <t>SALONI PAREEK</t>
  </si>
  <si>
    <t>Off Campus :: SAG Infotech (2.4 to 3 LPA)</t>
  </si>
  <si>
    <t>2022btechaidssaloni10741@poornima.edu.in</t>
  </si>
  <si>
    <t>2024/16754</t>
  </si>
  <si>
    <t>ASHVANI PAREEK</t>
  </si>
  <si>
    <t>Off Campus :: Kamarta Robotics Technology &amp; Automation (4.25 LPA)</t>
  </si>
  <si>
    <t>2024mcaashvani16754@poornima.edu.in</t>
  </si>
  <si>
    <t>2022/10819</t>
  </si>
  <si>
    <t>DIVYANSHU SHARMA</t>
  </si>
  <si>
    <t>Off Campus :: Watson Global Logistics (2.82 LPA)</t>
  </si>
  <si>
    <t>2022btechcsbdivyanshu10819@poornima.edu.in</t>
  </si>
  <si>
    <t>2023/15569</t>
  </si>
  <si>
    <t>SHIVAM GAUTAM</t>
  </si>
  <si>
    <t>BCA (General)</t>
  </si>
  <si>
    <t>Off Campus :: Quess IT Staffing (2.58 LPA)</t>
  </si>
  <si>
    <t>2023bcashivam15569@poornima.edu.in</t>
  </si>
  <si>
    <t>2024/19556</t>
  </si>
  <si>
    <t>ADITI LAWANIA</t>
  </si>
  <si>
    <t>MCA (AI&amp;DS)</t>
  </si>
  <si>
    <t>Off Campus NOC not issued :: Teleperformance ()</t>
  </si>
  <si>
    <t>2024mcaaidsaditi19556@poornima.edu.in</t>
  </si>
  <si>
    <t>PIET22CA041</t>
  </si>
  <si>
    <t>RHYTHM VERMA</t>
  </si>
  <si>
    <t>Off Campus :: Giesecke And Devrient India (3 LPA)</t>
  </si>
  <si>
    <t>2022pietcarhythm041@poornima.org</t>
  </si>
  <si>
    <t>2022/11011</t>
  </si>
  <si>
    <t>KELKAR JUI SHEKHAR</t>
  </si>
  <si>
    <t>Off Campus :: ChazeCloud Services (6 LPA)</t>
  </si>
  <si>
    <t>2022btechaidsjui11011@poornima.edu.in</t>
  </si>
  <si>
    <t>linkedin.com/in/jui-kelkar-a46020257</t>
  </si>
  <si>
    <t>https://drive.google.com/file/d/1G8KRw9LeQrij2HcCsyX-6DCrjjTyRQ-c/view?usp=drive_link</t>
  </si>
  <si>
    <t>2022/12923</t>
  </si>
  <si>
    <t>PANKAJ CHAUHAN</t>
  </si>
  <si>
    <t>Off Campus :: Stella Impex (7.5 LPA)</t>
  </si>
  <si>
    <t>2022btechaidspankaj12923@poornima.edu.in</t>
  </si>
  <si>
    <t>2023/14434</t>
  </si>
  <si>
    <t>ADITYA KUMAR SONI</t>
  </si>
  <si>
    <t>BCA (CY)</t>
  </si>
  <si>
    <t>Off Campus :: M&amp;G Insurance IMF (3.5 LPA)</t>
  </si>
  <si>
    <t>2023bcacsbaditya14434@poornima.edu.in</t>
  </si>
  <si>
    <t>2022/12302</t>
  </si>
  <si>
    <t>PALAK LOHANI</t>
  </si>
  <si>
    <t>Off Campus :: Blueberry Developer (3.41 LPA)</t>
  </si>
  <si>
    <t>2022cspalak12302@poornima.edu.in</t>
  </si>
  <si>
    <t>2022/10872</t>
  </si>
  <si>
    <t>PRATIK RAJ</t>
  </si>
  <si>
    <t>Off Campus :: Getwebup Cloud Technologies (5.10 LPA)</t>
  </si>
  <si>
    <t>2022cspratik10872@poornima.edu.in</t>
  </si>
  <si>
    <t>2022/11983</t>
  </si>
  <si>
    <t>SHREYANSH KHANDELWAL</t>
  </si>
  <si>
    <t>Off Campus :: Navrasa IT Solutions (6.5 LPA)</t>
  </si>
  <si>
    <t>2022btechaidsshreyansh11983@poornima.edu.in</t>
  </si>
  <si>
    <t>https://www.linkedin.com/in/shreyansh-khandelwal</t>
  </si>
  <si>
    <t>https://drive.google.com/file/d/1EsrmxV6FuT0A89GILDU8cYezw_bf-JKI/view?usp=drive_link</t>
  </si>
  <si>
    <t>2022/13045</t>
  </si>
  <si>
    <t>SANSKAR SOLANKI</t>
  </si>
  <si>
    <t>Off Campus :: fnCyber Security Consulting (4 LPA)</t>
  </si>
  <si>
    <t>2022btechcsbsanskar13045@poornima.edu.in</t>
  </si>
  <si>
    <t>2022/13216</t>
  </si>
  <si>
    <t>MANISH KUMAR</t>
  </si>
  <si>
    <t>Off Campus :: Heterize Infotech (2.16 LPA)</t>
  </si>
  <si>
    <t>2022csmanish13216@poornima.edu.in</t>
  </si>
  <si>
    <t>2023/15007</t>
  </si>
  <si>
    <t>YASHIKA MATHEWS</t>
  </si>
  <si>
    <t>BCA (CT)</t>
  </si>
  <si>
    <t>Off Campus :: Cricket Winner (2.82 LPA)</t>
  </si>
  <si>
    <t>2023bcaitmsyashika15007@poornima.edu.in</t>
  </si>
  <si>
    <t>2022/12167</t>
  </si>
  <si>
    <t>DIVYA KAUSHIK</t>
  </si>
  <si>
    <t>2022btechcsbdivya12167@poornima.edu.in</t>
  </si>
  <si>
    <t>2022/11353</t>
  </si>
  <si>
    <t>BHAVYA BAFNA</t>
  </si>
  <si>
    <t>Off Campus :: Holidays Unlimited, Jaipur (4 LPA)</t>
  </si>
  <si>
    <t>2022btechaidsbhavya11353@poornima.edu.in</t>
  </si>
  <si>
    <t>2023/14935</t>
  </si>
  <si>
    <t>YASH KUMAR GOUR</t>
  </si>
  <si>
    <t>BCA (AI&amp;DS)</t>
  </si>
  <si>
    <t>Off Campus :: M/S Balaji Trading (4.14 LPA)</t>
  </si>
  <si>
    <t>2023bcaaidsyash14935@poornima.edu.in</t>
  </si>
  <si>
    <t>PIET22CS109</t>
  </si>
  <si>
    <t>MUKUL AGRAWAL</t>
  </si>
  <si>
    <t>Off Campus NOC not Issued :: Aiguru ()</t>
  </si>
  <si>
    <t>2022pietcsmukul109@poornima.org</t>
  </si>
  <si>
    <t>2023/15134</t>
  </si>
  <si>
    <t>KARTIK PAREEK</t>
  </si>
  <si>
    <t>Off Campus :: Kugelblitz (3 LPA)</t>
  </si>
  <si>
    <t>2023bcaaidskartik15134@poornima.edu.in</t>
  </si>
  <si>
    <t>2022/13062</t>
  </si>
  <si>
    <t>ITISHA GUPTA</t>
  </si>
  <si>
    <t>Off Campus :: OneRealty (Stipend 1.44 LPA)</t>
  </si>
  <si>
    <t>2022csitisha13062@poornima.edu.in</t>
  </si>
  <si>
    <t>2022/12285</t>
  </si>
  <si>
    <t>DIVYANSH AGARWAL</t>
  </si>
  <si>
    <t>Off Campus :: Mokshi Retail (6 LPA)</t>
  </si>
  <si>
    <t>2022csdivyansh12285@poornima.edu.in</t>
  </si>
  <si>
    <t>https://www.linkedin.com/in/divyansh-agarwal-519914290</t>
  </si>
  <si>
    <t>https://drive.google.com/file/d/1DshwD-3wZqo_TikcYBRb860mIvReFwWt/view?usp=drive_link</t>
  </si>
  <si>
    <t>2022/12141</t>
  </si>
  <si>
    <t>KHUSHI GUPTA</t>
  </si>
  <si>
    <t>2022cskhushi12141@poornima.edu.in</t>
  </si>
  <si>
    <t>https://www.linkedin.com/in/khushi-gupta-39808924a</t>
  </si>
  <si>
    <t>https://drive.google.com/file/d/15Jkww18cb1xDOFIl5LtAC1LDV3damfIO/view?usp=drive_link</t>
  </si>
  <si>
    <t>2022/11409</t>
  </si>
  <si>
    <t>DEEPANSHU MEHRA</t>
  </si>
  <si>
    <t>Off Campus NOC not issued :: VertexPlus Technologies ()</t>
  </si>
  <si>
    <t>2022btechaidsdeepanshu11409@poornima.edu.in</t>
  </si>
  <si>
    <t>2022/11411</t>
  </si>
  <si>
    <t>SARTHAK UPADHAYAI</t>
  </si>
  <si>
    <t>Off Campus :: Navrasa IT Solutions (5 LPA to 7 LPA)</t>
  </si>
  <si>
    <t>2022btechaidssarthak11411@poornima.edu.in</t>
  </si>
  <si>
    <t>2024/17207</t>
  </si>
  <si>
    <t>TAUFIK ALAM</t>
  </si>
  <si>
    <t>Off Campus :: Wrathcode (2.5 LPA to 3.5 LPA)</t>
  </si>
  <si>
    <t>2024mcataufik17207@poornima.edu.in</t>
  </si>
  <si>
    <t>2023/15207</t>
  </si>
  <si>
    <t>NVADITTYA SINGH SHEKHAWAT</t>
  </si>
  <si>
    <t>Off Campus NOC not Issued :: Falcons Beyond Imagination (4.5 LPA)</t>
  </si>
  <si>
    <t>2023bcanvadittya15207@poornima.edu.in</t>
  </si>
  <si>
    <t>2022/12146</t>
  </si>
  <si>
    <t>ROSHAN</t>
  </si>
  <si>
    <t>Off Campus :: HighScores.ai (3.5 LPA)</t>
  </si>
  <si>
    <t>2022csroshan12146@poornima.edu.in</t>
  </si>
  <si>
    <t>2022/12556</t>
  </si>
  <si>
    <t>PAAWAN CHAUBEY</t>
  </si>
  <si>
    <t>Off Campus :: 4BOI Solutions (5.6 LPA)</t>
  </si>
  <si>
    <t>2022cspaawan12556@poornima.edu.in</t>
  </si>
  <si>
    <t>2023/15200</t>
  </si>
  <si>
    <t>SAHIL VYAS</t>
  </si>
  <si>
    <t>Off Campus NOC Pending :: Boomerang ()</t>
  </si>
  <si>
    <t>2023bcaaidssahil15200@poornima.edu.in</t>
  </si>
  <si>
    <t>2023/16013</t>
  </si>
  <si>
    <t>ZUBIYA SAEED</t>
  </si>
  <si>
    <t>Off Campus NOC Pending :: FINPROJECT India ()</t>
  </si>
  <si>
    <t>2023bcazubiya16013@poornima.edu.in</t>
  </si>
  <si>
    <t>2022/12638</t>
  </si>
  <si>
    <t>SHAIJAL CHOUKSEY</t>
  </si>
  <si>
    <t>Off Campus NOC Pending :: Navrasa IT Solutions ()</t>
  </si>
  <si>
    <t>2022btechaidsshaijal12638@poornima.edu.in</t>
  </si>
  <si>
    <t>2022/10881</t>
  </si>
  <si>
    <t>TUSHAL JOSHI</t>
  </si>
  <si>
    <t>2022btechaidstushal10881@poornima.edu.in</t>
  </si>
  <si>
    <t>2022/12997</t>
  </si>
  <si>
    <t>GOVIND SHARMA</t>
  </si>
  <si>
    <t>Off Campus NOC Pending :: Teleperformance ()</t>
  </si>
  <si>
    <t>2022btechaidsgovind12997@poornima.edu.in</t>
  </si>
  <si>
    <t>2022/12996</t>
  </si>
  <si>
    <t>DILIP SINGH</t>
  </si>
  <si>
    <t>Off Campus NOC Pending :: Coderbot Robotech And IT (5.5 LPA)</t>
  </si>
  <si>
    <t>2022csdilip12996@poornima.edu.in</t>
  </si>
  <si>
    <t>Placed in Company (ON Campus)</t>
  </si>
  <si>
    <t>NOC Issued for Company</t>
  </si>
  <si>
    <t>Better Software (Jalan Technologies) (4 LPA to 5 LPA)</t>
  </si>
  <si>
    <t>Internship+ PPO NOC :: IRIS Business Services ()</t>
  </si>
  <si>
    <t>2022/11325</t>
  </si>
  <si>
    <t>HARDIK SHARMA</t>
  </si>
  <si>
    <t>Startup - 1. HD Media Network and 2. SkyServer Cloud Technologies</t>
  </si>
  <si>
    <t>2022cshardik11325@poornima.edu.in</t>
  </si>
  <si>
    <t>2022/11763</t>
  </si>
  <si>
    <t>DHARAM PAL SINGH</t>
  </si>
  <si>
    <t>Startup :: Falcons Beyond Imagination ()</t>
  </si>
  <si>
    <t>2022csdharam11763@poornima.edu.in</t>
  </si>
  <si>
    <t>KIRTI VYAS</t>
  </si>
  <si>
    <t>IRIS Business Services ()</t>
  </si>
  <si>
    <t>Off Campus:: Kugelblitz (3 LPA)</t>
  </si>
  <si>
    <t>Celebal Technology (7 LPA)</t>
  </si>
  <si>
    <t>Mobile No.
 1</t>
  </si>
  <si>
    <t>Pre-Placed Company</t>
  </si>
  <si>
    <t>Pre-Placed :: Manu Yantralaya (3 LPA to 3.25 LPA)</t>
  </si>
  <si>
    <t>2022/10929</t>
  </si>
  <si>
    <t>DEV SOLANKI</t>
  </si>
  <si>
    <t>Pre-Placed :: Manimantech ()</t>
  </si>
  <si>
    <t>2022csdev10929@poornima.edu.in</t>
  </si>
  <si>
    <t>2024/19406</t>
  </si>
  <si>
    <t>ANITA</t>
  </si>
  <si>
    <t>Pre-Placed :: KUGELBLITZ ()</t>
  </si>
  <si>
    <t>2024mcaanita19406@poornima.edu.in</t>
  </si>
  <si>
    <t>Students Count (Poornima + JIET) Batch 2026 (Till 11-June-2025)</t>
  </si>
  <si>
    <t>Emp. code</t>
  </si>
  <si>
    <t>Name</t>
  </si>
  <si>
    <t>Program Name</t>
  </si>
  <si>
    <t>Poornima Total</t>
  </si>
  <si>
    <t>Total JIET</t>
  </si>
  <si>
    <t>Sub Total</t>
  </si>
  <si>
    <t>Avinash Sharma</t>
  </si>
  <si>
    <t>B.Tech in Civil</t>
  </si>
  <si>
    <t>-</t>
  </si>
  <si>
    <t>Pooja Saini</t>
  </si>
  <si>
    <t>B.Tech in Computers (All specialization)</t>
  </si>
  <si>
    <t>Saloni Jain</t>
  </si>
  <si>
    <t>B.Tech in Electrical &amp; Computer Engineering</t>
  </si>
  <si>
    <t>Shubhamn Jain</t>
  </si>
  <si>
    <t>B.Tech in EC</t>
  </si>
  <si>
    <t>Arshad Nadeem</t>
  </si>
  <si>
    <t>B.Tech in EE</t>
  </si>
  <si>
    <t>B.Tech in IT</t>
  </si>
  <si>
    <t>B.Tech in ME</t>
  </si>
  <si>
    <t>Engineering</t>
  </si>
  <si>
    <t>B.Des in Fashion &amp; Textile</t>
  </si>
  <si>
    <t>B.Des in Interior Design</t>
  </si>
  <si>
    <t>B.Sc in Animation &amp; VFX</t>
  </si>
  <si>
    <t>B.Sc in PCM</t>
  </si>
  <si>
    <t>B.Sc in Environment Science</t>
  </si>
  <si>
    <t>B.Sc in Gaming, Augmented And Virtual Reality</t>
  </si>
  <si>
    <t>B.Sc-H&amp;HA</t>
  </si>
  <si>
    <t>B.Des(Fashion Communication)</t>
  </si>
  <si>
    <t>B.Des.(Fashion Design)</t>
  </si>
  <si>
    <t>BVA in Painting</t>
  </si>
  <si>
    <t>BVA in Applied Arts</t>
  </si>
  <si>
    <t>M.Des (ID)</t>
  </si>
  <si>
    <t>M.Plan-(Urban Planning)</t>
  </si>
  <si>
    <t>Master in Yogic Studies</t>
  </si>
  <si>
    <t>Non-Engineering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</si>
</sst>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5.0"/>
      <color rgb="FF000000"/>
      <name val="Arial"/>
    </font>
    <font/>
    <font>
      <b/>
      <sz val="10.0"/>
      <color rgb="FF000000"/>
      <name val="Arial"/>
    </font>
    <font>
      <b/>
      <sz val="10.0"/>
      <color/>
      <name val="Arial"/>
    </font>
    <font>
      <b/>
      <u/>
      <sz val="10.0"/>
      <color/>
      <name val="Arial"/>
    </font>
    <font>
      <color/>
      <name val="Arial"/>
    </font>
    <font>
      <sz val="10.0"/>
      <color/>
      <name val="Arial"/>
    </font>
    <font>
      <b/>
      <color/>
      <name val="Arial"/>
    </font>
    <font>
      <sz val="10.0"/>
      <color rgb="FF000000"/>
      <name val="Arial"/>
    </font>
    <font>
      <color/>
      <name val="Cambria"/>
    </font>
    <font>
      <sz val="11.0"/>
      <color rgb="FF000000"/>
      <name val="Calibri"/>
    </font>
    <font>
      <b/>
      <sz val="12.0"/>
      <color/>
      <name val="Arial"/>
    </font>
    <font>
      <b/>
      <sz val="11.0"/>
      <color/>
      <name val="Arial"/>
    </font>
    <font>
      <b/>
      <sz val="10.0"/>
      <color rgb="FFFFFFFF"/>
      <name val="Cambria"/>
    </font>
    <font>
      <b/>
      <color rgb="FFFFFFFF"/>
      <name val="Cambria"/>
    </font>
    <font>
      <color rgb="FF000000"/>
      <name val="Cambria"/>
    </font>
    <font>
      <sz val="10.0"/>
      <color rgb="FF000000"/>
      <name val="Cambria"/>
    </font>
    <font>
      <u/>
      <color rgb="FF0000FF"/>
      <name val="Cambria"/>
    </font>
    <font>
      <b/>
      <color/>
      <name val="Cambria"/>
    </font>
    <font>
      <u/>
      <color rgb="FF0000FF"/>
      <name val="Cambria"/>
    </font>
    <font>
      <b/>
      <color rgb="FF000000"/>
      <name val="Cambria"/>
    </font>
    <font>
      <sz val="10.0"/>
      <color/>
      <name val="Cambria"/>
    </font>
    <font>
      <b/>
      <sz val="15.0"/>
      <color rgb="FF000000"/>
      <name val="Cambria"/>
    </font>
    <font>
      <color rgb="FF000000"/>
      <name val="Arial"/>
    </font>
    <font>
      <b/>
      <sz val="11.0"/>
      <color rgb="FF000000"/>
      <name val="Cambria"/>
    </font>
    <font>
      <u/>
      <color rgb="FF0563C1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00B0F0"/>
        <bgColor rgb="FF00B0F0"/>
      </patternFill>
    </fill>
    <fill>
      <patternFill patternType="solid">
        <fgColor rgb="FFF2DDDC"/>
        <bgColor rgb="FFF2DDDC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17375D"/>
        <bgColor rgb="FF17375D"/>
      </patternFill>
    </fill>
    <fill>
      <patternFill patternType="solid">
        <fgColor rgb="FF333399"/>
        <bgColor rgb="FF333399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4" numFmtId="49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2" fillId="7" fontId="4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1" fontId="6" numFmtId="49" xfId="0" applyAlignment="1" applyBorder="1" applyFill="1" applyFont="1" applyNumberFormat="1">
      <alignment horizontal="center" shrinkToFit="0" vertical="center" wrapText="1"/>
    </xf>
    <xf borderId="4" fillId="0" fontId="6" numFmtId="4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12" fillId="12" fontId="4" numFmtId="0" xfId="0" applyAlignment="1" applyBorder="1" applyFill="1" applyFont="1">
      <alignment horizontal="center" shrinkToFit="0" vertical="center" wrapText="1"/>
    </xf>
    <xf borderId="12" fillId="9" fontId="8" numFmtId="0" xfId="0" applyAlignment="1" applyBorder="1" applyFont="1">
      <alignment horizontal="center" shrinkToFit="0" vertical="center" wrapText="1"/>
    </xf>
    <xf borderId="7" fillId="0" fontId="6" numFmtId="49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2" fillId="12" fontId="8" numFmtId="0" xfId="0" applyAlignment="1" applyBorder="1" applyFont="1">
      <alignment horizontal="center" shrinkToFit="0" vertical="center" wrapText="1"/>
    </xf>
    <xf borderId="4" fillId="11" fontId="6" numFmtId="49" xfId="0" applyAlignment="1" applyBorder="1" applyFont="1" applyNumberFormat="1">
      <alignment horizontal="center" vertical="center"/>
    </xf>
    <xf borderId="4" fillId="13" fontId="6" numFmtId="0" xfId="0" applyAlignment="1" applyBorder="1" applyFill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4" fillId="0" fontId="2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8" fillId="13" fontId="9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shrinkToFit="0" vertical="center" wrapText="1"/>
    </xf>
    <xf borderId="4" fillId="0" fontId="7" numFmtId="49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4" fillId="13" fontId="7" numFmtId="49" xfId="0" applyAlignment="1" applyBorder="1" applyFont="1" applyNumberFormat="1">
      <alignment horizontal="center" shrinkToFit="0" vertical="center" wrapText="1"/>
    </xf>
    <xf borderId="12" fillId="0" fontId="7" numFmtId="49" xfId="0" applyAlignment="1" applyBorder="1" applyFont="1" applyNumberFormat="1">
      <alignment horizontal="center" shrinkToFit="0" vertical="center" wrapText="1"/>
    </xf>
    <xf borderId="12" fillId="11" fontId="6" numFmtId="49" xfId="0" applyAlignment="1" applyBorder="1" applyFont="1" applyNumberFormat="1">
      <alignment horizontal="center" shrinkToFit="0" vertical="center" wrapText="1"/>
    </xf>
    <xf borderId="12" fillId="0" fontId="6" numFmtId="49" xfId="0" applyAlignment="1" applyBorder="1" applyFont="1" applyNumberForma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2" fillId="13" fontId="7" numFmtId="49" xfId="0" applyAlignment="1" applyBorder="1" applyFont="1" applyNumberFormat="1">
      <alignment horizontal="center" shrinkToFit="0" vertical="center" wrapText="1"/>
    </xf>
    <xf borderId="8" fillId="13" fontId="6" numFmtId="0" xfId="0" applyAlignment="1" applyBorder="1" applyFont="1">
      <alignment horizontal="center" vertical="center"/>
    </xf>
    <xf borderId="0" fillId="0" fontId="11" numFmtId="0" xfId="0" applyAlignment="1" applyFont="1">
      <alignment horizontal="center" shrinkToFit="0" vertical="center" wrapText="0"/>
    </xf>
    <xf borderId="4" fillId="13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2" fillId="12" fontId="6" numFmtId="0" xfId="0" applyAlignment="1" applyBorder="1" applyFont="1">
      <alignment vertical="center"/>
    </xf>
    <xf borderId="13" fillId="13" fontId="6" numFmtId="0" xfId="0" applyAlignment="1" applyBorder="1" applyFont="1">
      <alignment horizontal="center" vertical="center"/>
    </xf>
    <xf borderId="4" fillId="14" fontId="6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ont="1">
      <alignment horizontal="center" shrinkToFit="0" vertical="center" wrapText="1"/>
    </xf>
    <xf borderId="12" fillId="10" fontId="12" numFmtId="0" xfId="0" applyAlignment="1" applyBorder="1" applyFont="1">
      <alignment horizontal="center" shrinkToFit="0" vertical="center" wrapText="1"/>
    </xf>
    <xf borderId="12" fillId="9" fontId="12" numFmtId="0" xfId="0" applyAlignment="1" applyBorder="1" applyFont="1">
      <alignment horizontal="center" shrinkToFit="0" vertical="center" wrapText="1"/>
    </xf>
    <xf borderId="12" fillId="10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12" fillId="15" fontId="14" numFmtId="0" xfId="0" applyAlignment="1" applyBorder="1" applyFill="1" applyFont="1">
      <alignment horizontal="center" shrinkToFit="0" vertical="center" wrapText="0"/>
    </xf>
    <xf borderId="12" fillId="16" fontId="15" numFmtId="0" xfId="0" applyAlignment="1" applyBorder="1" applyFill="1" applyFont="1">
      <alignment horizontal="center" vertical="center"/>
    </xf>
    <xf borderId="12" fillId="0" fontId="16" numFmtId="0" xfId="0" applyAlignment="1" applyBorder="1" applyFont="1">
      <alignment horizontal="center" shrinkToFit="0" vertical="center" wrapText="0"/>
    </xf>
    <xf borderId="12" fillId="0" fontId="16" numFmtId="0" xfId="0" applyAlignment="1" applyBorder="1" applyFont="1">
      <alignment shrinkToFit="0" vertical="center" wrapText="0"/>
    </xf>
    <xf borderId="12" fillId="0" fontId="10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left" shrinkToFit="0" vertical="center" wrapText="0"/>
    </xf>
    <xf borderId="12" fillId="0" fontId="16" numFmtId="0" xfId="0" applyAlignment="1" applyBorder="1" applyFont="1">
      <alignment horizontal="left" shrinkToFit="0" vertical="center" wrapText="0"/>
    </xf>
    <xf borderId="12" fillId="0" fontId="18" numFmtId="0" xfId="0" applyAlignment="1" applyBorder="1" applyFont="1">
      <alignment horizontal="center" shrinkToFit="0" vertical="center" wrapText="0"/>
    </xf>
    <xf borderId="12" fillId="0" fontId="19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vertical="center"/>
    </xf>
    <xf borderId="0" fillId="0" fontId="17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  <xf borderId="12" fillId="16" fontId="15" numFmtId="0" xfId="0" applyAlignment="1" applyBorder="1" applyFont="1">
      <alignment horizontal="left" vertical="center"/>
    </xf>
    <xf borderId="12" fillId="0" fontId="20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12" fillId="16" fontId="14" numFmtId="0" xfId="0" applyAlignment="1" applyBorder="1" applyFont="1">
      <alignment horizontal="center" vertical="center"/>
    </xf>
    <xf borderId="12" fillId="16" fontId="14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horizontal="center" vertical="center"/>
    </xf>
    <xf borderId="12" fillId="0" fontId="17" numFmtId="0" xfId="0" applyAlignment="1" applyBorder="1" applyFont="1">
      <alignment horizontal="center" shrinkToFit="0" vertical="center" wrapText="0"/>
    </xf>
    <xf borderId="3" fillId="0" fontId="16" numFmtId="0" xfId="0" applyAlignment="1" applyBorder="1" applyFont="1">
      <alignment horizontal="left" shrinkToFit="0" vertical="center" wrapText="0"/>
    </xf>
    <xf borderId="3" fillId="0" fontId="16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16" fontId="14" numFmtId="0" xfId="0" applyAlignment="1" applyFont="1">
      <alignment horizontal="center" vertical="center"/>
    </xf>
    <xf borderId="12" fillId="0" fontId="22" numFmtId="0" xfId="0" applyAlignment="1" applyBorder="1" applyFont="1">
      <alignment horizontal="center" vertical="center"/>
    </xf>
    <xf borderId="1" fillId="17" fontId="23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13" fillId="18" fontId="21" numFmtId="0" xfId="0" applyAlignment="1" applyBorder="1" applyFill="1" applyFont="1">
      <alignment horizontal="center" shrinkToFit="0" vertical="center" wrapText="0"/>
    </xf>
    <xf borderId="11" fillId="18" fontId="21" numFmtId="0" xfId="0" applyAlignment="1" applyBorder="1" applyFont="1">
      <alignment horizontal="center" shrinkToFit="0" vertical="center" wrapText="0"/>
    </xf>
    <xf borderId="13" fillId="0" fontId="16" numFmtId="0" xfId="0" applyAlignment="1" applyBorder="1" applyFont="1">
      <alignment horizontal="center" shrinkToFit="0" vertical="center" wrapText="0"/>
    </xf>
    <xf borderId="11" fillId="0" fontId="16" numFmtId="0" xfId="0" applyAlignment="1" applyBorder="1" applyFont="1">
      <alignment horizontal="center" shrinkToFit="0" vertical="center" wrapText="0"/>
    </xf>
    <xf borderId="11" fillId="19" fontId="16" numFmtId="0" xfId="0" applyAlignment="1" applyBorder="1" applyFill="1" applyFont="1">
      <alignment horizontal="center" shrinkToFit="0" vertical="center" wrapText="0"/>
    </xf>
    <xf borderId="11" fillId="12" fontId="16" numFmtId="0" xfId="0" applyAlignment="1" applyBorder="1" applyFont="1">
      <alignment horizontal="center" shrinkToFit="0" vertical="center" wrapText="0"/>
    </xf>
    <xf borderId="13" fillId="10" fontId="25" numFmtId="0" xfId="0" applyAlignment="1" applyBorder="1" applyFont="1">
      <alignment horizontal="center" shrinkToFit="0" vertical="center" wrapText="0"/>
    </xf>
    <xf borderId="11" fillId="10" fontId="25" numFmtId="0" xfId="0" applyAlignment="1" applyBorder="1" applyFont="1">
      <alignment horizontal="center" shrinkToFit="0" vertical="center" wrapText="0"/>
    </xf>
    <xf borderId="12" fillId="19" fontId="16" numFmtId="0" xfId="0" applyAlignment="1" applyBorder="1" applyFont="1">
      <alignment horizontal="center" shrinkToFit="0" vertical="center" wrapText="0"/>
    </xf>
    <xf borderId="13" fillId="0" fontId="2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CnlR6vGnFspv7wBk870TpCy7JzjfWp6/view?usp=drive_link" TargetMode="External"/><Relationship Id="rId42" Type="http://schemas.openxmlformats.org/officeDocument/2006/relationships/hyperlink" Target="https://drive.google.com/file/d/1ePsSmOMUUuVQ8bGz_H56TX4JorQHyUB-/view?usp=drive_link" TargetMode="External"/><Relationship Id="rId41" Type="http://schemas.openxmlformats.org/officeDocument/2006/relationships/hyperlink" Target="http://linkedin.com/in/yash-thepra-854989266" TargetMode="External"/><Relationship Id="rId44" Type="http://schemas.openxmlformats.org/officeDocument/2006/relationships/hyperlink" Target="https://drive.google.com/file/d/1CW6c7R0T9NCCxGDMwj1twLVVqJP0ee_u/view?usp=drive_link" TargetMode="External"/><Relationship Id="rId43" Type="http://schemas.openxmlformats.org/officeDocument/2006/relationships/hyperlink" Target="https://www.linkedin.com/in/jekipanchal" TargetMode="External"/><Relationship Id="rId46" Type="http://schemas.openxmlformats.org/officeDocument/2006/relationships/hyperlink" Target="https://drive.google.com/file/d/1ZrK4Q250oEOM2ID4toAk_O8_PwSIx2up/view?usp=drive_link" TargetMode="External"/><Relationship Id="rId45" Type="http://schemas.openxmlformats.org/officeDocument/2006/relationships/hyperlink" Target="https://www.linkedin.com/in/aman-saini-995b212b1" TargetMode="External"/><Relationship Id="rId107" Type="http://schemas.openxmlformats.org/officeDocument/2006/relationships/hyperlink" Target="https://www.linkedin.com/in/aditya-murari-81bb09256/" TargetMode="External"/><Relationship Id="rId106" Type="http://schemas.openxmlformats.org/officeDocument/2006/relationships/hyperlink" Target="https://drive.google.com/file/d/12MZwBF3Rhk2amZySmjPAy-W7oIJqvenG/view?usp=drive_link" TargetMode="External"/><Relationship Id="rId105" Type="http://schemas.openxmlformats.org/officeDocument/2006/relationships/hyperlink" Target="http://www.linkedin.com/in/pranav-lata-7329b5267" TargetMode="External"/><Relationship Id="rId104" Type="http://schemas.openxmlformats.org/officeDocument/2006/relationships/hyperlink" Target="https://drive.google.com/file/d/19CTQ_IEk6BATyJB4zqULczG2zbg7WzAA/view?usp=drive_link" TargetMode="External"/><Relationship Id="rId109" Type="http://schemas.openxmlformats.org/officeDocument/2006/relationships/hyperlink" Target="https://www.linkedin.com/in/aman-shivdasani-948856253" TargetMode="External"/><Relationship Id="rId108" Type="http://schemas.openxmlformats.org/officeDocument/2006/relationships/hyperlink" Target="https://drive.google.com/file/d/12NYSx3nSOG5_SbpqiRF40gAt40iisQ0f/view?usp=drive_link" TargetMode="External"/><Relationship Id="rId48" Type="http://schemas.openxmlformats.org/officeDocument/2006/relationships/hyperlink" Target="https://drive.google.com/file/d/1ubpecc7FdNwCUeJtv7AFKdIIUTiDkNoE/view?usp=drive_link" TargetMode="External"/><Relationship Id="rId47" Type="http://schemas.openxmlformats.org/officeDocument/2006/relationships/hyperlink" Target="https://www.linkedin.com/in/ravina-dhaka-998095280?utm_source=share&amp;utm_campaign=share_via&amp;utm_content=profile&amp;utm_medium=android_app" TargetMode="External"/><Relationship Id="rId49" Type="http://schemas.openxmlformats.org/officeDocument/2006/relationships/hyperlink" Target="https://www.linkedin.com/in/kavyagupta03/" TargetMode="External"/><Relationship Id="rId103" Type="http://schemas.openxmlformats.org/officeDocument/2006/relationships/hyperlink" Target="http://www.linkedin.com/in/atharva0309" TargetMode="External"/><Relationship Id="rId102" Type="http://schemas.openxmlformats.org/officeDocument/2006/relationships/hyperlink" Target="https://drive.google.com/file/d/1x6u3fou0kRX6Zsi0byjjFsufryBmkgx_/view?usp=drive_link" TargetMode="External"/><Relationship Id="rId101" Type="http://schemas.openxmlformats.org/officeDocument/2006/relationships/hyperlink" Target="https://www.linkedin.com/in/aryan-soni182004" TargetMode="External"/><Relationship Id="rId100" Type="http://schemas.openxmlformats.org/officeDocument/2006/relationships/hyperlink" Target="https://drive.google.com/file/d/1zazaTN4BXmftOCsRUS_EIVYi1I_sodrQ/view?usp=drive_link" TargetMode="External"/><Relationship Id="rId31" Type="http://schemas.openxmlformats.org/officeDocument/2006/relationships/hyperlink" Target="http://www.linkedin.com/in/prince-kumar-ba2228257" TargetMode="External"/><Relationship Id="rId30" Type="http://schemas.openxmlformats.org/officeDocument/2006/relationships/hyperlink" Target="https://drive.google.com/file/d/15RRrt_SRHb31QtcXtVUtmto3hY3Sr7Re/view?usp=drive_link" TargetMode="External"/><Relationship Id="rId33" Type="http://schemas.openxmlformats.org/officeDocument/2006/relationships/hyperlink" Target="https://www.linkedin.com/in/abhishree-gahlot/" TargetMode="External"/><Relationship Id="rId32" Type="http://schemas.openxmlformats.org/officeDocument/2006/relationships/hyperlink" Target="https://drive.google.com/file/d/1DIQcaj4LQ59B9n8YlQJNfdDVVaOWqmQz/view?usp=drive_link" TargetMode="External"/><Relationship Id="rId35" Type="http://schemas.openxmlformats.org/officeDocument/2006/relationships/hyperlink" Target="https://www.linkedin.com/in/himanijangid07/" TargetMode="External"/><Relationship Id="rId181" Type="http://schemas.openxmlformats.org/officeDocument/2006/relationships/drawing" Target="../drawings/drawing2.xml"/><Relationship Id="rId34" Type="http://schemas.openxmlformats.org/officeDocument/2006/relationships/hyperlink" Target="https://drive.google.com/file/d/1bzz9dI_Xkp7DVnwmE4Lh24-Wna-RVNHU/view?usp=drive_link" TargetMode="External"/><Relationship Id="rId180" Type="http://schemas.openxmlformats.org/officeDocument/2006/relationships/hyperlink" Target="https://drive.google.com/file/d/1ax3IgnxlBEN4N639ZYkEGK3V1uXRX79Y/view?usp=drive_link" TargetMode="External"/><Relationship Id="rId37" Type="http://schemas.openxmlformats.org/officeDocument/2006/relationships/hyperlink" Target="https://www.linkedin.com/in/hiyagurbani/" TargetMode="External"/><Relationship Id="rId176" Type="http://schemas.openxmlformats.org/officeDocument/2006/relationships/hyperlink" Target="https://drive.google.com/file/d/11ThYoZ2D8DGtZ1KWpsfxRMP5NGo4iGPK/view?usp=drive_link" TargetMode="External"/><Relationship Id="rId36" Type="http://schemas.openxmlformats.org/officeDocument/2006/relationships/hyperlink" Target="https://drive.google.com/file/d/1LajrLHELREWXZW2BdH89Kvnt-cwPtJZq/view?usp=drive_link" TargetMode="External"/><Relationship Id="rId175" Type="http://schemas.openxmlformats.org/officeDocument/2006/relationships/hyperlink" Target="https://www.linkedin.com/in/jatin-nama" TargetMode="External"/><Relationship Id="rId39" Type="http://schemas.openxmlformats.org/officeDocument/2006/relationships/hyperlink" Target="https://www.linkedin.com/in/lavina-sevani" TargetMode="External"/><Relationship Id="rId174" Type="http://schemas.openxmlformats.org/officeDocument/2006/relationships/hyperlink" Target="https://drive.google.com/file/d/11O41fKXGWHHCkc9WiFNsbfkpgEW1A4DE/view?usp=drive_link" TargetMode="External"/><Relationship Id="rId38" Type="http://schemas.openxmlformats.org/officeDocument/2006/relationships/hyperlink" Target="https://drive.google.com/file/d/1zCFUmSpwjcbP6arKjf-ZWcjRh3Heed3O/view?usp=drive_link" TargetMode="External"/><Relationship Id="rId173" Type="http://schemas.openxmlformats.org/officeDocument/2006/relationships/hyperlink" Target="https://www.linkedin.com/in/nishchal-sharma-9b980b201/" TargetMode="External"/><Relationship Id="rId179" Type="http://schemas.openxmlformats.org/officeDocument/2006/relationships/hyperlink" Target="http://www.linkedin.com/in/sandeep-singh-naruka-90972428b" TargetMode="External"/><Relationship Id="rId178" Type="http://schemas.openxmlformats.org/officeDocument/2006/relationships/hyperlink" Target="https://drive.google.com/file/d/1RLZtkW7HV6c-qfBi9ZWQE96GC3HcbJnx/view?usp=drive_link" TargetMode="External"/><Relationship Id="rId177" Type="http://schemas.openxmlformats.org/officeDocument/2006/relationships/hyperlink" Target="https://www.linkedin.com/in/krishan-kant-dadhich-a07307255/" TargetMode="External"/><Relationship Id="rId20" Type="http://schemas.openxmlformats.org/officeDocument/2006/relationships/hyperlink" Target="https://drive.google.com/file/d/1_f5_Nz7ahlIL_QBQo4rlJgtmTW9qnSi9/view?usp=drive_link" TargetMode="External"/><Relationship Id="rId22" Type="http://schemas.openxmlformats.org/officeDocument/2006/relationships/hyperlink" Target="https://drive.google.com/file/d/1xK9psYOFsXRj2cUpQGzzL8I_-TTYYCU1/view?usp=drive_link" TargetMode="External"/><Relationship Id="rId21" Type="http://schemas.openxmlformats.org/officeDocument/2006/relationships/hyperlink" Target="https://www.linkedin.com/in/daulat68" TargetMode="External"/><Relationship Id="rId24" Type="http://schemas.openxmlformats.org/officeDocument/2006/relationships/hyperlink" Target="https://drive.google.com/file/d/1XGrq5flVb6udhQbpIRvOCWER4y7zv-a0/view?usp=drive_link" TargetMode="External"/><Relationship Id="rId23" Type="http://schemas.openxmlformats.org/officeDocument/2006/relationships/hyperlink" Target="https://www.linkedin.com/in/siddhi-maru-5b4205277" TargetMode="External"/><Relationship Id="rId129" Type="http://schemas.openxmlformats.org/officeDocument/2006/relationships/hyperlink" Target="https://www.linkedin.com/in/chahat-gupta-712878256" TargetMode="External"/><Relationship Id="rId128" Type="http://schemas.openxmlformats.org/officeDocument/2006/relationships/hyperlink" Target="https://drive.google.com/file/d/1Idds--QFk7dQLjcyTfhbeSeEcbBCvWLS/view?usp=drive_link" TargetMode="External"/><Relationship Id="rId127" Type="http://schemas.openxmlformats.org/officeDocument/2006/relationships/hyperlink" Target="https://www.linkedin.com/in/shaily-sharma-334896256/" TargetMode="External"/><Relationship Id="rId126" Type="http://schemas.openxmlformats.org/officeDocument/2006/relationships/hyperlink" Target="https://drive.google.com/file/d/1H0b8u86jokc2bYzbA_2bwd-tQWJ4EE_o/view?usp=drive_link" TargetMode="External"/><Relationship Id="rId26" Type="http://schemas.openxmlformats.org/officeDocument/2006/relationships/hyperlink" Target="https://drive.google.com/file/d/1vDPD4ih6prgpfzdwLPoG-EslEd-df1RB/view?usp=drive_link" TargetMode="External"/><Relationship Id="rId121" Type="http://schemas.openxmlformats.org/officeDocument/2006/relationships/hyperlink" Target="https://www.linkedin.com/in/vikas-singh-shekhawat" TargetMode="External"/><Relationship Id="rId25" Type="http://schemas.openxmlformats.org/officeDocument/2006/relationships/hyperlink" Target="https://www.linkedin.com/in/arun-pratap-singh-b52790257/" TargetMode="External"/><Relationship Id="rId120" Type="http://schemas.openxmlformats.org/officeDocument/2006/relationships/hyperlink" Target="https://drive.google.com/file/d/173brMl8BEiLJ34T-NQ_qOrylZEx1CQtF/view?usp=drive_link" TargetMode="External"/><Relationship Id="rId28" Type="http://schemas.openxmlformats.org/officeDocument/2006/relationships/hyperlink" Target="https://drive.google.com/file/d/13qcdulkhg9K9-RhspdGFJq5rdDtfBERr/view?usp=drive_link" TargetMode="External"/><Relationship Id="rId27" Type="http://schemas.openxmlformats.org/officeDocument/2006/relationships/hyperlink" Target="https://www.linkedin.com/in/piyush-singh-negi-68b94b256" TargetMode="External"/><Relationship Id="rId125" Type="http://schemas.openxmlformats.org/officeDocument/2006/relationships/hyperlink" Target="https://www.linkedin.com/in/khushboo-suthar-b33816347?utm_source=share&amp;utm_campaign=share_via&amp;utm_content=profile&amp;utm_medium=android_app" TargetMode="External"/><Relationship Id="rId29" Type="http://schemas.openxmlformats.org/officeDocument/2006/relationships/hyperlink" Target="https://www.linkedin.com/in/khushi-vijay97/." TargetMode="External"/><Relationship Id="rId124" Type="http://schemas.openxmlformats.org/officeDocument/2006/relationships/hyperlink" Target="https://drive.google.com/file/d/1Hml6KPJWSXarBWLxeNj9kuWMyY4ZoBTU/view?usp=drive_link" TargetMode="External"/><Relationship Id="rId123" Type="http://schemas.openxmlformats.org/officeDocument/2006/relationships/hyperlink" Target="http://www.linkedin.com/in/sparshjain93" TargetMode="External"/><Relationship Id="rId122" Type="http://schemas.openxmlformats.org/officeDocument/2006/relationships/hyperlink" Target="https://drive.google.com/file/d/1mCYxRhZaHtv0ID9IPLGu1qPgIStUMrOX/view?usp=drive_link" TargetMode="External"/><Relationship Id="rId95" Type="http://schemas.openxmlformats.org/officeDocument/2006/relationships/hyperlink" Target="https://www.linkedin.com/in/yogesh-kumar-sharma-195b52256?utm_source=share&amp;utm_campaign=share_via&amp;utm_content=profile&amp;utm_medium=ios_app" TargetMode="External"/><Relationship Id="rId94" Type="http://schemas.openxmlformats.org/officeDocument/2006/relationships/hyperlink" Target="https://drive.google.com/file/d/15IuVd-xcWDBV9Wmwoy_JOXdJlO-InpPx/view?usp=drive_link" TargetMode="External"/><Relationship Id="rId97" Type="http://schemas.openxmlformats.org/officeDocument/2006/relationships/hyperlink" Target="https://www.linkedin.com/in/hitiksha-jain-700891263/" TargetMode="External"/><Relationship Id="rId96" Type="http://schemas.openxmlformats.org/officeDocument/2006/relationships/hyperlink" Target="https://drive.google.com/file/d/1WvogeCNwFqeMRqHd9PqTf3v_dzm6Ps-w/view?usp=drive_link" TargetMode="External"/><Relationship Id="rId11" Type="http://schemas.openxmlformats.org/officeDocument/2006/relationships/hyperlink" Target="https://www.linkedin.com/in/anjali-soni-68769825b" TargetMode="External"/><Relationship Id="rId99" Type="http://schemas.openxmlformats.org/officeDocument/2006/relationships/hyperlink" Target="https://www.linkedin.com/in/kanisht-jain-69030b260" TargetMode="External"/><Relationship Id="rId10" Type="http://schemas.openxmlformats.org/officeDocument/2006/relationships/hyperlink" Target="https://drive.google.com/file/d/1cBw833rxlNPrlxgpUNFi-J7Qle7n7riY/view?usp=drive_link" TargetMode="External"/><Relationship Id="rId98" Type="http://schemas.openxmlformats.org/officeDocument/2006/relationships/hyperlink" Target="https://drive.google.com/file/d/1KVwrftn-y2xcNMaBfBVuCvE_EIDbEFnW/view?usp=drive_link" TargetMode="External"/><Relationship Id="rId13" Type="http://schemas.openxmlformats.org/officeDocument/2006/relationships/hyperlink" Target="https://in.linkedin.com/in/priyaj-sony" TargetMode="External"/><Relationship Id="rId12" Type="http://schemas.openxmlformats.org/officeDocument/2006/relationships/hyperlink" Target="https://drive.google.com/file/d/13PfubDRLhlp3J_32GebxOekEmyYgBGhX/view?usp=drive_link" TargetMode="External"/><Relationship Id="rId91" Type="http://schemas.openxmlformats.org/officeDocument/2006/relationships/hyperlink" Target="https://www.linkedin.com/in/shivanshu-kumar-477a18255?utm_source=share&amp;utm_campaign=share_via&amp;utm_content=profile&amp;utm_medium=android_app" TargetMode="External"/><Relationship Id="rId90" Type="http://schemas.openxmlformats.org/officeDocument/2006/relationships/hyperlink" Target="https://drive.google.com/file/d/1qmYIn_dCA9GRuStYmJGPjRzquZgUh6pE/view?usp=drive_link" TargetMode="External"/><Relationship Id="rId93" Type="http://schemas.openxmlformats.org/officeDocument/2006/relationships/hyperlink" Target="https://www.linkedin.com/in/nikhil-jain-b49518277?utm_source=share&amp;utm_campaign=share_via&amp;utm_content=profile&amp;utm_medium=android_app" TargetMode="External"/><Relationship Id="rId92" Type="http://schemas.openxmlformats.org/officeDocument/2006/relationships/hyperlink" Target="https://drive.google.com/file/d/1lAYdsyc-9OWxXZACYgiuhDO20hsFHVH-/view?usp=drive_link" TargetMode="External"/><Relationship Id="rId118" Type="http://schemas.openxmlformats.org/officeDocument/2006/relationships/hyperlink" Target="https://drive.google.com/file/d/1ymnq8pYyyhjJV5FThGDER8eIHkOn8Qcj/view?usp=drive_link" TargetMode="External"/><Relationship Id="rId117" Type="http://schemas.openxmlformats.org/officeDocument/2006/relationships/hyperlink" Target="https://www.linkedin.com/in/deepak-dewatwal-27762124a/" TargetMode="External"/><Relationship Id="rId116" Type="http://schemas.openxmlformats.org/officeDocument/2006/relationships/hyperlink" Target="https://drive.google.com/file/d/1fqJbiszTHngFhRP1uZoFQFP-wfnuXUt1/view?usp=drive_link" TargetMode="External"/><Relationship Id="rId115" Type="http://schemas.openxmlformats.org/officeDocument/2006/relationships/hyperlink" Target="https://www.linkedin.com/in/nameisansh" TargetMode="External"/><Relationship Id="rId119" Type="http://schemas.openxmlformats.org/officeDocument/2006/relationships/hyperlink" Target="https://www.linkedin.com/in/devendra-vijay121" TargetMode="External"/><Relationship Id="rId15" Type="http://schemas.openxmlformats.org/officeDocument/2006/relationships/hyperlink" Target="https://www.linkedin.com/in/deepanshigoyal04" TargetMode="External"/><Relationship Id="rId110" Type="http://schemas.openxmlformats.org/officeDocument/2006/relationships/hyperlink" Target="https://drive.google.com/file/d/1c-Rwiix7daVAYIH2kCmaM-MS35j8f3JI/view?usp=drive_link" TargetMode="External"/><Relationship Id="rId14" Type="http://schemas.openxmlformats.org/officeDocument/2006/relationships/hyperlink" Target="https://drive.google.com/file/d/1L_PcPkiHWzqWHJzkljON-iX83LR0DOQr/view?usp=drive_link" TargetMode="External"/><Relationship Id="rId17" Type="http://schemas.openxmlformats.org/officeDocument/2006/relationships/hyperlink" Target="https://www.linkedin.com/in/gourav-vyas14/" TargetMode="External"/><Relationship Id="rId16" Type="http://schemas.openxmlformats.org/officeDocument/2006/relationships/hyperlink" Target="https://drive.google.com/file/d/1scZCfKQ7mTJvFCoU09_ljAJfRnmHgfvH/view?usp=drive_link" TargetMode="External"/><Relationship Id="rId19" Type="http://schemas.openxmlformats.org/officeDocument/2006/relationships/hyperlink" Target="https://www.linkedin.com/in/lakshya-maharshi/" TargetMode="External"/><Relationship Id="rId114" Type="http://schemas.openxmlformats.org/officeDocument/2006/relationships/hyperlink" Target="https://drive.google.com/file/d/1EEooF25oLtQNvuhPl5jjMX1voZKXNK3i/view?usp=drive_link" TargetMode="External"/><Relationship Id="rId18" Type="http://schemas.openxmlformats.org/officeDocument/2006/relationships/hyperlink" Target="https://drive.google.com/file/d/1yPD4q40B4p7Cn2OyHD3e6_UeGwWKTZYv/view?usp=drive_link" TargetMode="External"/><Relationship Id="rId113" Type="http://schemas.openxmlformats.org/officeDocument/2006/relationships/hyperlink" Target="https://www.linkedin.com/in/anmol-babel-a777b4253/" TargetMode="External"/><Relationship Id="rId112" Type="http://schemas.openxmlformats.org/officeDocument/2006/relationships/hyperlink" Target="https://drive.google.com/file/d/1Zbt2TWQ4YrpzsA0oXjVGOCwHJajZcCdl/view?usp=drive_link" TargetMode="External"/><Relationship Id="rId111" Type="http://schemas.openxmlformats.org/officeDocument/2006/relationships/hyperlink" Target="https://www.linkedin.com/in/anjali-goyal11" TargetMode="External"/><Relationship Id="rId84" Type="http://schemas.openxmlformats.org/officeDocument/2006/relationships/hyperlink" Target="https://drive.google.com/file/d/1qhSnwx7GIdKVatqug8SyohykFzFptOXh/view?usp=drive_link" TargetMode="External"/><Relationship Id="rId83" Type="http://schemas.openxmlformats.org/officeDocument/2006/relationships/hyperlink" Target="https://www.linkedin.com/in/sunny-sharma-0b5780257." TargetMode="External"/><Relationship Id="rId86" Type="http://schemas.openxmlformats.org/officeDocument/2006/relationships/hyperlink" Target="https://drive.google.com/file/d/1mV9Vtsiv5oL-GjTb6uRGOuGIGp6_vM6_/view?usp=drive_link" TargetMode="External"/><Relationship Id="rId85" Type="http://schemas.openxmlformats.org/officeDocument/2006/relationships/hyperlink" Target="https://www.linkedin.com/in/arpita-garg-035931263?utm_source=share&amp;utm_campaign=share_via&amp;utm_content=profile&amp;utm_medium=android_app" TargetMode="External"/><Relationship Id="rId88" Type="http://schemas.openxmlformats.org/officeDocument/2006/relationships/hyperlink" Target="https://drive.google.com/file/d/1pboreU02lYWyXKlMYU3nJW7LA_AOmwW3/view?usp=drive_link" TargetMode="External"/><Relationship Id="rId150" Type="http://schemas.openxmlformats.org/officeDocument/2006/relationships/hyperlink" Target="https://drive.google.com/file/d/1pQDGALzDi9BViCPrn5CaoQ_fj4qeVbS7/view?usp=drive_link" TargetMode="External"/><Relationship Id="rId87" Type="http://schemas.openxmlformats.org/officeDocument/2006/relationships/hyperlink" Target="https://www.linkedin.com/in/anirudhsharma17" TargetMode="External"/><Relationship Id="rId89" Type="http://schemas.openxmlformats.org/officeDocument/2006/relationships/hyperlink" Target="https://www.linkedin.com/in/sakshi-jain-24a8b0257/" TargetMode="External"/><Relationship Id="rId80" Type="http://schemas.openxmlformats.org/officeDocument/2006/relationships/hyperlink" Target="https://drive.google.com/file/d/1WI4fP748nfAR3l-r9WktMDCy29H2b3G2/view?usp=drive_link" TargetMode="External"/><Relationship Id="rId82" Type="http://schemas.openxmlformats.org/officeDocument/2006/relationships/hyperlink" Target="https://drive.google.com/file/d/10PAP4iCfZlPeW0WC7vRJ6C3Aj67ZoHt_/view?usp=drive_link" TargetMode="External"/><Relationship Id="rId81" Type="http://schemas.openxmlformats.org/officeDocument/2006/relationships/hyperlink" Target="https://www.linkedin.com/in/ankit-kumar-46b887256" TargetMode="External"/><Relationship Id="rId1" Type="http://schemas.openxmlformats.org/officeDocument/2006/relationships/hyperlink" Target="http://www.linkedin.com/in/shivam-jangid0303" TargetMode="External"/><Relationship Id="rId2" Type="http://schemas.openxmlformats.org/officeDocument/2006/relationships/hyperlink" Target="https://drive.google.com/file/d/1xbtsoa2ICkNLuDbyxqx5ErhLs4M_AH21/view?usp=drive_link" TargetMode="External"/><Relationship Id="rId3" Type="http://schemas.openxmlformats.org/officeDocument/2006/relationships/hyperlink" Target="https://www.linkedin.com/in/akshatbari/" TargetMode="External"/><Relationship Id="rId149" Type="http://schemas.openxmlformats.org/officeDocument/2006/relationships/hyperlink" Target="https://www.linkedin.com/in/vipul-sharma-156259257" TargetMode="External"/><Relationship Id="rId4" Type="http://schemas.openxmlformats.org/officeDocument/2006/relationships/hyperlink" Target="https://drive.google.com/file/d/1bCxipXNkDhNaIkEiEIEwXsUDb4SAmtuH/view?usp=drive_link" TargetMode="External"/><Relationship Id="rId148" Type="http://schemas.openxmlformats.org/officeDocument/2006/relationships/hyperlink" Target="https://drive.google.com/file/d/1R-SqYOBCa8gl-J1GnIYIbFprv2y9Elf9/view?usp=drive_link" TargetMode="External"/><Relationship Id="rId9" Type="http://schemas.openxmlformats.org/officeDocument/2006/relationships/hyperlink" Target="https://www.linkedin.com/in/mridulsoni" TargetMode="External"/><Relationship Id="rId143" Type="http://schemas.openxmlformats.org/officeDocument/2006/relationships/hyperlink" Target="https://www.linkedin.com/in/yash-hemnani-yh25" TargetMode="External"/><Relationship Id="rId142" Type="http://schemas.openxmlformats.org/officeDocument/2006/relationships/hyperlink" Target="https://drive.google.com/file/d/14xW1iGS735824Hs_qXBOQ0SeAFrY64Tf/view?usp=drive_link" TargetMode="External"/><Relationship Id="rId141" Type="http://schemas.openxmlformats.org/officeDocument/2006/relationships/hyperlink" Target="https://www.linkedin.com/in/twinkle-gupta-ba8718228" TargetMode="External"/><Relationship Id="rId140" Type="http://schemas.openxmlformats.org/officeDocument/2006/relationships/hyperlink" Target="https://drive.google.com/file/d/18XPsqqI-cWtLHMdS2bzI-vgbOtfzCUvs/view?usp=drive_link" TargetMode="External"/><Relationship Id="rId5" Type="http://schemas.openxmlformats.org/officeDocument/2006/relationships/hyperlink" Target="https://www.linkedin.com/in/divyansh-jain-ab5801183/?utm_source=share&amp;utm_campaign=share_via&amp;utm_content=profile&amp;utm_medium=android_app" TargetMode="External"/><Relationship Id="rId147" Type="http://schemas.openxmlformats.org/officeDocument/2006/relationships/hyperlink" Target="https://www.linkedin.com/in/bhumey" TargetMode="External"/><Relationship Id="rId6" Type="http://schemas.openxmlformats.org/officeDocument/2006/relationships/hyperlink" Target="https://drive.google.com/file/d/1KwEDBLDZQpBiHwPwJK6oy5lTRTaviX-l/view?usp=drive_link" TargetMode="External"/><Relationship Id="rId146" Type="http://schemas.openxmlformats.org/officeDocument/2006/relationships/hyperlink" Target="https://drive.google.com/file/d/1WZg7fWWKih0TueZv_CaBgirJVZLcHUbo/view?usp=drive_link" TargetMode="External"/><Relationship Id="rId7" Type="http://schemas.openxmlformats.org/officeDocument/2006/relationships/hyperlink" Target="https://www.linkedin.com/in/madhusudan-dadhich/" TargetMode="External"/><Relationship Id="rId145" Type="http://schemas.openxmlformats.org/officeDocument/2006/relationships/hyperlink" Target="https://www.linkedin.com/in/kushal-raj-pareek/" TargetMode="External"/><Relationship Id="rId8" Type="http://schemas.openxmlformats.org/officeDocument/2006/relationships/hyperlink" Target="https://drive.google.com/file/d/1Vmw37-IHbToZuHGzfWvA8ux_1fZRBEDr/view?usp=drive_link" TargetMode="External"/><Relationship Id="rId144" Type="http://schemas.openxmlformats.org/officeDocument/2006/relationships/hyperlink" Target="https://drive.google.com/file/d/1jvZXazj-Syq3BC4YY5DPzUbdwWYepLZp/view?usp=drive_link" TargetMode="External"/><Relationship Id="rId73" Type="http://schemas.openxmlformats.org/officeDocument/2006/relationships/hyperlink" Target="https://www.linkedin.com/in/arpit-agrawal-564410256/" TargetMode="External"/><Relationship Id="rId72" Type="http://schemas.openxmlformats.org/officeDocument/2006/relationships/hyperlink" Target="https://drive.google.com/file/d/1ev5-gIX0RVtcuk87nlMUiQv1b96Xap7U/view?usp=drive_link" TargetMode="External"/><Relationship Id="rId75" Type="http://schemas.openxmlformats.org/officeDocument/2006/relationships/hyperlink" Target="http://www.linkedin.com/in/kiranshekhawat" TargetMode="External"/><Relationship Id="rId74" Type="http://schemas.openxmlformats.org/officeDocument/2006/relationships/hyperlink" Target="https://drive.google.com/file/d/1lXtHEOJf-qhYio1msi47o4WiKFsIYHaH/view?usp=drive_link" TargetMode="External"/><Relationship Id="rId77" Type="http://schemas.openxmlformats.org/officeDocument/2006/relationships/hyperlink" Target="https://www.linkedin.com/in/sneha-agarwal-87b249255/" TargetMode="External"/><Relationship Id="rId76" Type="http://schemas.openxmlformats.org/officeDocument/2006/relationships/hyperlink" Target="https://drive.google.com/file/d/1fFSOuc_FGh7W0peA74ptpTHCEWmXEmWb/view?usp=drive_link" TargetMode="External"/><Relationship Id="rId79" Type="http://schemas.openxmlformats.org/officeDocument/2006/relationships/hyperlink" Target="https://www.linkedin.com/in/swarnim-kumar-lohani-442310277?utm_source=share&amp;utm_campaign=share_via&amp;utm_content=profile&amp;utm_medium=android_app" TargetMode="External"/><Relationship Id="rId78" Type="http://schemas.openxmlformats.org/officeDocument/2006/relationships/hyperlink" Target="https://drive.google.com/file/d/1a88eUbO6TCYSYgmNw5rdKzvcyam7Y_LX/view?usp=drive_link" TargetMode="External"/><Relationship Id="rId71" Type="http://schemas.openxmlformats.org/officeDocument/2006/relationships/hyperlink" Target="https://www.linkedin.com/in/navneet-9150a7245/" TargetMode="External"/><Relationship Id="rId70" Type="http://schemas.openxmlformats.org/officeDocument/2006/relationships/hyperlink" Target="https://drive.google.com/file/d/1IEwhRBwRZ3uETwhe0SuX43FOZ-Tf0JzW/view?usp=drive_link" TargetMode="External"/><Relationship Id="rId139" Type="http://schemas.openxmlformats.org/officeDocument/2006/relationships/hyperlink" Target="https://www.linkedin.com/in/gauri26singhal/" TargetMode="External"/><Relationship Id="rId138" Type="http://schemas.openxmlformats.org/officeDocument/2006/relationships/hyperlink" Target="https://drive.google.com/file/d/1YHhzWf5EC8EcfiMgoOMafieJ2I_J1_Qu/view?usp=drive_link" TargetMode="External"/><Relationship Id="rId137" Type="http://schemas.openxmlformats.org/officeDocument/2006/relationships/hyperlink" Target="https://www.linkedin.com/in/simran-jethwani-05a99827b" TargetMode="External"/><Relationship Id="rId132" Type="http://schemas.openxmlformats.org/officeDocument/2006/relationships/hyperlink" Target="https://drive.google.com/file/d/1j7rx7CJXFYp7B5U7flDhD3_wtdhzRuCG/view?usp=drive_link" TargetMode="External"/><Relationship Id="rId131" Type="http://schemas.openxmlformats.org/officeDocument/2006/relationships/hyperlink" Target="https://www.linkedin.com/in/devansh-sharma-8825a1256/" TargetMode="External"/><Relationship Id="rId130" Type="http://schemas.openxmlformats.org/officeDocument/2006/relationships/hyperlink" Target="https://drive.google.com/file/d/1euzugN1nNmAmZx5frA0fWtCf7V0y4mfm/view?usp=drive_link" TargetMode="External"/><Relationship Id="rId136" Type="http://schemas.openxmlformats.org/officeDocument/2006/relationships/hyperlink" Target="https://drive.google.com/file/d/1M9l0fCp3P6uMBqMtNI8TvhNwJT3kFY4K/view?usp=drive_link" TargetMode="External"/><Relationship Id="rId135" Type="http://schemas.openxmlformats.org/officeDocument/2006/relationships/hyperlink" Target="https://www.linkedin.com/in/gaurav-singh-18b52024b/" TargetMode="External"/><Relationship Id="rId134" Type="http://schemas.openxmlformats.org/officeDocument/2006/relationships/hyperlink" Target="https://drive.google.com/file/d/1wr1uMiJSSlYFXiSEp_M55u8s6Pfwa180/view?usp=drive_link" TargetMode="External"/><Relationship Id="rId133" Type="http://schemas.openxmlformats.org/officeDocument/2006/relationships/hyperlink" Target="https://www.linkedin.com/in/dhruvv-jain/" TargetMode="External"/><Relationship Id="rId62" Type="http://schemas.openxmlformats.org/officeDocument/2006/relationships/hyperlink" Target="https://drive.google.com/file/d/1WwkxQtLqOA_jghd1O2SsG8gXa_983ikp/view?usp=drive_link" TargetMode="External"/><Relationship Id="rId61" Type="http://schemas.openxmlformats.org/officeDocument/2006/relationships/hyperlink" Target="https://www.linkedin.com/in/rishi-soni-261a6b255/" TargetMode="External"/><Relationship Id="rId64" Type="http://schemas.openxmlformats.org/officeDocument/2006/relationships/hyperlink" Target="https://drive.google.com/file/d/1XAbcJ9qG4EyqqHaP6pxOZjxXSLti-UCR/view?usp=drive_link" TargetMode="External"/><Relationship Id="rId63" Type="http://schemas.openxmlformats.org/officeDocument/2006/relationships/hyperlink" Target="https://www.linkedin.com/in/neerajvermagps" TargetMode="External"/><Relationship Id="rId66" Type="http://schemas.openxmlformats.org/officeDocument/2006/relationships/hyperlink" Target="https://drive.google.com/file/d/1CS0TsHi5I7ftMgSvBDBkNk7WF9_Awe2F/view?usp=drive_link" TargetMode="External"/><Relationship Id="rId172" Type="http://schemas.openxmlformats.org/officeDocument/2006/relationships/hyperlink" Target="https://drive.google.com/file/d/1aNbwXcO8dIzWZ9Wmr5qzdbrBJGcgDOgR/view?usp=drive_link" TargetMode="External"/><Relationship Id="rId65" Type="http://schemas.openxmlformats.org/officeDocument/2006/relationships/hyperlink" Target="https://www.linkedin.com/in/tanisha-mahavar-02ba6b25a/" TargetMode="External"/><Relationship Id="rId171" Type="http://schemas.openxmlformats.org/officeDocument/2006/relationships/hyperlink" Target="https://www.linkedin.com/in/aditi-choudhary-a25a2525a" TargetMode="External"/><Relationship Id="rId68" Type="http://schemas.openxmlformats.org/officeDocument/2006/relationships/hyperlink" Target="https://drive.google.com/file/d/11HjpkfjZXBaD5fn9Lqxy7mLkBmdfEHo0/view?usp=drive_link" TargetMode="External"/><Relationship Id="rId170" Type="http://schemas.openxmlformats.org/officeDocument/2006/relationships/hyperlink" Target="https://drive.google.com/file/d/1xVv46ow_gkTmuQdF8oB-SzXOeDTuxv9n/view?usp=drive_link" TargetMode="External"/><Relationship Id="rId67" Type="http://schemas.openxmlformats.org/officeDocument/2006/relationships/hyperlink" Target="https://www.linkedin.com/in/vaidehimangal/" TargetMode="External"/><Relationship Id="rId60" Type="http://schemas.openxmlformats.org/officeDocument/2006/relationships/hyperlink" Target="https://drive.google.com/file/d/1iv26INx5Q_ezHcr8YdQaDXsLqXxyRrue/view?usp=drive_link" TargetMode="External"/><Relationship Id="rId165" Type="http://schemas.openxmlformats.org/officeDocument/2006/relationships/hyperlink" Target="https://www.linkedin.com/in/manthan-bariya-73643b291?utm_source=share&amp;utm_campaign=share_via&amp;utm_content=profile&amp;utm_medium=android_app" TargetMode="External"/><Relationship Id="rId69" Type="http://schemas.openxmlformats.org/officeDocument/2006/relationships/hyperlink" Target="https://www.linkedin.com/in/bhavook-singh-chouhan" TargetMode="External"/><Relationship Id="rId164" Type="http://schemas.openxmlformats.org/officeDocument/2006/relationships/hyperlink" Target="https://drive.google.com/file/d/1zLlToAVHmGc_QZIa1iumI-zd_V9-zUXm/view?usp=drive_link" TargetMode="External"/><Relationship Id="rId163" Type="http://schemas.openxmlformats.org/officeDocument/2006/relationships/hyperlink" Target="https://www.linkedin.com/in/krishnendu-dubey-410851273?utm_source=share&amp;utm_campaign=share_via&amp;utm_content=profile&amp;utm_medium=android_app" TargetMode="External"/><Relationship Id="rId162" Type="http://schemas.openxmlformats.org/officeDocument/2006/relationships/hyperlink" Target="https://drive.google.com/file/d/1Ggk3vJ3r00XF-YiROn9t5ytHc06UMfwj/view?usp=drive_link" TargetMode="External"/><Relationship Id="rId169" Type="http://schemas.openxmlformats.org/officeDocument/2006/relationships/hyperlink" Target="http://linkedin.com/in/vatsal-shukla-a660a1237" TargetMode="External"/><Relationship Id="rId168" Type="http://schemas.openxmlformats.org/officeDocument/2006/relationships/hyperlink" Target="https://drive.google.com/file/d/1PsPhwT0UX6kyQ9AJlkpP48YRYv-42-Hz/view?usp=drive_link" TargetMode="External"/><Relationship Id="rId167" Type="http://schemas.openxmlformats.org/officeDocument/2006/relationships/hyperlink" Target="https://www.linkedin.com/in/rahul-choudhary-5b0152260?utm_source=share&amp;utm_campaign=share_via&amp;utm_content=profile&amp;utm_medium=android_app" TargetMode="External"/><Relationship Id="rId166" Type="http://schemas.openxmlformats.org/officeDocument/2006/relationships/hyperlink" Target="https://drive.google.com/file/d/1pryuROnl05RiBbKcDqZhMbCIlgfn9rw-/view?usp=drive_link" TargetMode="External"/><Relationship Id="rId51" Type="http://schemas.openxmlformats.org/officeDocument/2006/relationships/hyperlink" Target="http://linkedin.com/in/meghamathur17" TargetMode="External"/><Relationship Id="rId50" Type="http://schemas.openxmlformats.org/officeDocument/2006/relationships/hyperlink" Target="https://drive.google.com/file/d/1Ld3-bHmmYsMUGv3gHT_V5XCdzx6cfeN2/view?usp=drive_link" TargetMode="External"/><Relationship Id="rId53" Type="http://schemas.openxmlformats.org/officeDocument/2006/relationships/hyperlink" Target="http://www.linkedin.com/in/paras-gulvanshi" TargetMode="External"/><Relationship Id="rId52" Type="http://schemas.openxmlformats.org/officeDocument/2006/relationships/hyperlink" Target="https://drive.google.com/file/d/1bTLCxWG0XfvPDdusfl-QivH3tU5TojHo/view?usp=drive_link" TargetMode="External"/><Relationship Id="rId55" Type="http://schemas.openxmlformats.org/officeDocument/2006/relationships/hyperlink" Target="https://www.linkedin.com/in/rahul-chouhan-665ab8250/" TargetMode="External"/><Relationship Id="rId161" Type="http://schemas.openxmlformats.org/officeDocument/2006/relationships/hyperlink" Target="https://www.linkedin.com/in/avinash-sharma-56114a256" TargetMode="External"/><Relationship Id="rId54" Type="http://schemas.openxmlformats.org/officeDocument/2006/relationships/hyperlink" Target="https://drive.google.com/file/d/1ciguw3PgJKVqgtShLFKm1o5EzdlfNkxh/view?usp=drive_link" TargetMode="External"/><Relationship Id="rId160" Type="http://schemas.openxmlformats.org/officeDocument/2006/relationships/hyperlink" Target="https://drive.google.com/file/d/1rzcPv4ax-WtUngT6VkF5PCIbQJv5WlYX/view?usp=drive_link" TargetMode="External"/><Relationship Id="rId57" Type="http://schemas.openxmlformats.org/officeDocument/2006/relationships/hyperlink" Target="http://www.linkedin.com/in/suryansh-srivastava-909036291" TargetMode="External"/><Relationship Id="rId56" Type="http://schemas.openxmlformats.org/officeDocument/2006/relationships/hyperlink" Target="https://drive.google.com/file/d/1WaY37WJ8aKgqWG6E4CRn9SB9d6cpubPh/view?usp=drive_link" TargetMode="External"/><Relationship Id="rId159" Type="http://schemas.openxmlformats.org/officeDocument/2006/relationships/hyperlink" Target="http://www.linkedin.com/in/tejas-jain-44a001261" TargetMode="External"/><Relationship Id="rId59" Type="http://schemas.openxmlformats.org/officeDocument/2006/relationships/hyperlink" Target="https://www.linkedin.com/in/aman-aswani-a48a84241" TargetMode="External"/><Relationship Id="rId154" Type="http://schemas.openxmlformats.org/officeDocument/2006/relationships/hyperlink" Target="https://drive.google.com/file/d/1b--K1HYRAtO56WHbGV_UHZQSeVjehf4e/view?usp=drive_link" TargetMode="External"/><Relationship Id="rId58" Type="http://schemas.openxmlformats.org/officeDocument/2006/relationships/hyperlink" Target="https://drive.google.com/file/d/1ZYSqqWDA-h6cq-KAlCxFgimDuCAErVrp/view?usp=drive_link" TargetMode="External"/><Relationship Id="rId153" Type="http://schemas.openxmlformats.org/officeDocument/2006/relationships/hyperlink" Target="https://www.linkedin.com/in/muskan-tak-503498277" TargetMode="External"/><Relationship Id="rId152" Type="http://schemas.openxmlformats.org/officeDocument/2006/relationships/hyperlink" Target="https://drive.google.com/file/d/1c5gnFNV4NEQwOo6NPrqobCpSsLOcjy5y/view?usp=drive_link" TargetMode="External"/><Relationship Id="rId151" Type="http://schemas.openxmlformats.org/officeDocument/2006/relationships/hyperlink" Target="https://www.linkedin.com/in/kanishka-jingar-85b02824b" TargetMode="External"/><Relationship Id="rId158" Type="http://schemas.openxmlformats.org/officeDocument/2006/relationships/hyperlink" Target="https://drive.google.com/file/d/1cigsPNY5usmpkJDMVbZ_VeLzuKVe7Vvp/view?usp=drive_link" TargetMode="External"/><Relationship Id="rId157" Type="http://schemas.openxmlformats.org/officeDocument/2006/relationships/hyperlink" Target="https://www.linkedin.com/in/lochan-jhalani-552084252" TargetMode="External"/><Relationship Id="rId156" Type="http://schemas.openxmlformats.org/officeDocument/2006/relationships/hyperlink" Target="https://drive.google.com/file/d/1cOWuwj1O0a_CYeN5z93d-NA9UVBJffMV/view?usp=drive_link" TargetMode="External"/><Relationship Id="rId155" Type="http://schemas.openxmlformats.org/officeDocument/2006/relationships/hyperlink" Target="https://www.linkedin.com/in/shubhra-jain12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srmxV6FuT0A89GILDU8cYezw_bf-JKI/view?usp=drive_link" TargetMode="External"/><Relationship Id="rId22" Type="http://schemas.openxmlformats.org/officeDocument/2006/relationships/hyperlink" Target="https://drive.google.com/file/d/1DshwD-3wZqo_TikcYBRb860mIvReFwWt/view?usp=drive_link" TargetMode="External"/><Relationship Id="rId21" Type="http://schemas.openxmlformats.org/officeDocument/2006/relationships/hyperlink" Target="https://www.linkedin.com/in/divyansh-agarwal-519914290" TargetMode="External"/><Relationship Id="rId24" Type="http://schemas.openxmlformats.org/officeDocument/2006/relationships/hyperlink" Target="https://drive.google.com/file/d/15Jkww18cb1xDOFIl5LtAC1LDV3damfIO/view?usp=drive_link" TargetMode="External"/><Relationship Id="rId23" Type="http://schemas.openxmlformats.org/officeDocument/2006/relationships/hyperlink" Target="https://www.linkedin.com/in/khushi-gupta-39808924a" TargetMode="External"/><Relationship Id="rId25" Type="http://schemas.openxmlformats.org/officeDocument/2006/relationships/drawing" Target="../drawings/drawing3.xml"/><Relationship Id="rId11" Type="http://schemas.openxmlformats.org/officeDocument/2006/relationships/hyperlink" Target="https://www.linkedin.com/in/yogendrajain/" TargetMode="External"/><Relationship Id="rId10" Type="http://schemas.openxmlformats.org/officeDocument/2006/relationships/hyperlink" Target="https://drive.google.com/file/d/1ez9NztwA3mAGzkoIE0Pn2ffDn49rbixh/view?usp=drive_link" TargetMode="External"/><Relationship Id="rId13" Type="http://schemas.openxmlformats.org/officeDocument/2006/relationships/hyperlink" Target="http://www.linkedin.com/in/ritika-sharma-b61525261" TargetMode="External"/><Relationship Id="rId12" Type="http://schemas.openxmlformats.org/officeDocument/2006/relationships/hyperlink" Target="https://drive.google.com/file/d/1G9HdXgKKU4VqdYlB1o-6j8WHy-qQUstZ/view?usp=drive_link" TargetMode="External"/><Relationship Id="rId15" Type="http://schemas.openxmlformats.org/officeDocument/2006/relationships/hyperlink" Target="https://www.linkedin.com/in/prateek-sharma19" TargetMode="External"/><Relationship Id="rId14" Type="http://schemas.openxmlformats.org/officeDocument/2006/relationships/hyperlink" Target="https://drive.google.com/file/d/1J1Hu9Y59ky06UYNed-MFSYcmWKvDlYzK/view?usp=drive_link" TargetMode="External"/><Relationship Id="rId17" Type="http://schemas.openxmlformats.org/officeDocument/2006/relationships/hyperlink" Target="http://linkedin.com/in/jui-kelkar-a46020257" TargetMode="External"/><Relationship Id="rId16" Type="http://schemas.openxmlformats.org/officeDocument/2006/relationships/hyperlink" Target="https://drive.google.com/file/d/1t7Rn263lGRwRDskHTsVvodSzrdEnAWIn/view?usp=drive_link" TargetMode="External"/><Relationship Id="rId19" Type="http://schemas.openxmlformats.org/officeDocument/2006/relationships/hyperlink" Target="https://www.linkedin.com/in/shreyansh-khandelwal" TargetMode="External"/><Relationship Id="rId18" Type="http://schemas.openxmlformats.org/officeDocument/2006/relationships/hyperlink" Target="https://drive.google.com/file/d/1G8KRw9LeQrij2HcCsyX-6DCrjjTyRQ-c/view?usp=drive_link" TargetMode="External"/><Relationship Id="rId1" Type="http://schemas.openxmlformats.org/officeDocument/2006/relationships/hyperlink" Target="https://www.linkedin.com/in/abhijith-soman-5b597225b/" TargetMode="External"/><Relationship Id="rId2" Type="http://schemas.openxmlformats.org/officeDocument/2006/relationships/hyperlink" Target="https://drive.google.com/file/d/18zmx1bLtTUFFfbHbCWSMlPp4yKx2cVs6/view?usp=drive_link" TargetMode="External"/><Relationship Id="rId3" Type="http://schemas.openxmlformats.org/officeDocument/2006/relationships/hyperlink" Target="https://www.linkedin.com/in/manan-chandna-697588257/" TargetMode="External"/><Relationship Id="rId4" Type="http://schemas.openxmlformats.org/officeDocument/2006/relationships/hyperlink" Target="https://drive.google.com/file/d/1e1_CfyuwxbQ0X2zg_KzeuRIcUPptm-yB/view?usp=drive_link" TargetMode="External"/><Relationship Id="rId9" Type="http://schemas.openxmlformats.org/officeDocument/2006/relationships/hyperlink" Target="http://www.linkedin.com/in/yash--rathore" TargetMode="External"/><Relationship Id="rId5" Type="http://schemas.openxmlformats.org/officeDocument/2006/relationships/hyperlink" Target="http://www.linkedin.com/in/himadri-singh-6a6927261" TargetMode="External"/><Relationship Id="rId6" Type="http://schemas.openxmlformats.org/officeDocument/2006/relationships/hyperlink" Target="https://drive.google.com/file/d/1wuwqi59xIEdFr0-GKQemCouCFr3p8tOj/view?usp=drive_link" TargetMode="External"/><Relationship Id="rId7" Type="http://schemas.openxmlformats.org/officeDocument/2006/relationships/hyperlink" Target="https://www.linkedin.com/in/kumar--naveen/" TargetMode="External"/><Relationship Id="rId8" Type="http://schemas.openxmlformats.org/officeDocument/2006/relationships/hyperlink" Target="https://drive.google.com/file/d/1PVIP6En0B5NMld-n07OAKyCrTDGeEU9S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.com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57"/>
    <col customWidth="1" min="2" max="2" width="30.29"/>
    <col customWidth="1" min="3" max="3" width="29.43"/>
    <col customWidth="1" min="4" max="4" width="30.14"/>
    <col customWidth="1" min="5" max="5" width="16.0"/>
    <col customWidth="1" min="6" max="6" width="55.43"/>
    <col customWidth="1" min="7" max="7" width="54.43"/>
    <col customWidth="1" min="8" max="8" width="68.71"/>
    <col customWidth="1" min="9" max="9" width="64.14"/>
    <col customWidth="1" min="10" max="10" width="13.0"/>
    <col customWidth="1" min="11" max="11" width="13.43"/>
    <col customWidth="1" min="12" max="12" width="12.14"/>
    <col customWidth="1" min="13" max="13" width="10.71"/>
    <col customWidth="1" min="14" max="14" width="8.86"/>
    <col customWidth="1" min="15" max="15" width="11.14"/>
    <col customWidth="1" min="16" max="16" width="6.71"/>
    <col customWidth="1" min="17" max="17" width="6.86"/>
    <col customWidth="1" min="18" max="18" width="6.71"/>
    <col customWidth="1" min="19" max="19" width="6.43"/>
    <col customWidth="1" min="20" max="24" width="9.71"/>
    <col customWidth="1" min="25" max="25" width="11.57"/>
    <col customWidth="1" min="26" max="36" width="9.71"/>
    <col customWidth="1" min="37" max="37" width="8.43"/>
    <col customWidth="1" min="38" max="38" width="10.43"/>
    <col customWidth="1" min="39" max="39" width="6.43"/>
    <col customWidth="1" min="40" max="40" width="8.14"/>
    <col customWidth="1" min="41" max="41" width="10.29"/>
    <col customWidth="1" min="42" max="42" width="7.71"/>
    <col customWidth="1" min="43" max="45" width="6.43"/>
    <col customWidth="1" hidden="1" min="46" max="49" width="6.43"/>
    <col customWidth="1" hidden="1" min="50" max="50" width="7.43"/>
    <col customWidth="1" hidden="1" min="51" max="51" width="7.29"/>
    <col customWidth="1" hidden="1" min="52" max="52" width="8.43"/>
    <col customWidth="1" hidden="1" min="53" max="53" width="7.57"/>
    <col customWidth="1" hidden="1" min="54" max="54" width="10.71"/>
    <col customWidth="1" hidden="1" min="55" max="55" width="11.29"/>
    <col customWidth="1" hidden="1" min="56" max="56" width="15.0"/>
    <col customWidth="1" hidden="1" min="57" max="57" width="7.14"/>
    <col customWidth="1" min="58" max="59" width="7.14"/>
    <col customWidth="1" hidden="1" min="60" max="63" width="7.14"/>
    <col customWidth="1" hidden="1" min="64" max="64" width="12.0"/>
    <col customWidth="1" hidden="1" min="65" max="65" width="7.14"/>
    <col customWidth="1" min="66" max="66" width="7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7" t="s">
        <v>16</v>
      </c>
      <c r="Q2" s="8"/>
      <c r="R2" s="8"/>
      <c r="S2" s="9"/>
      <c r="T2" s="10" t="s">
        <v>17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3"/>
      <c r="R3" s="13"/>
      <c r="S3" s="14"/>
      <c r="T3" s="15" t="s">
        <v>18</v>
      </c>
      <c r="U3" s="2"/>
      <c r="V3" s="2"/>
      <c r="W3" s="2"/>
      <c r="X3" s="2"/>
      <c r="Y3" s="2"/>
      <c r="Z3" s="2"/>
      <c r="AA3" s="2"/>
      <c r="AB3" s="2"/>
      <c r="AC3" s="2"/>
      <c r="AD3" s="3"/>
      <c r="AE3" s="16" t="s">
        <v>19</v>
      </c>
      <c r="AF3" s="2"/>
      <c r="AG3" s="2"/>
      <c r="AH3" s="2"/>
      <c r="AI3" s="2"/>
      <c r="AJ3" s="3"/>
      <c r="AK3" s="17" t="s">
        <v>20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3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8" t="s">
        <v>21</v>
      </c>
      <c r="Q4" s="19" t="s">
        <v>18</v>
      </c>
      <c r="R4" s="19" t="s">
        <v>19</v>
      </c>
      <c r="S4" s="19" t="s">
        <v>20</v>
      </c>
      <c r="T4" s="20" t="s">
        <v>22</v>
      </c>
      <c r="U4" s="20" t="s">
        <v>23</v>
      </c>
      <c r="V4" s="20" t="s">
        <v>24</v>
      </c>
      <c r="W4" s="20" t="s">
        <v>25</v>
      </c>
      <c r="X4" s="20" t="s">
        <v>26</v>
      </c>
      <c r="Y4" s="20" t="s">
        <v>27</v>
      </c>
      <c r="Z4" s="20" t="s">
        <v>28</v>
      </c>
      <c r="AA4" s="20" t="s">
        <v>29</v>
      </c>
      <c r="AB4" s="20" t="s">
        <v>30</v>
      </c>
      <c r="AC4" s="20" t="s">
        <v>31</v>
      </c>
      <c r="AD4" s="21" t="s">
        <v>32</v>
      </c>
      <c r="AE4" s="20" t="s">
        <v>22</v>
      </c>
      <c r="AF4" s="20" t="s">
        <v>23</v>
      </c>
      <c r="AG4" s="20" t="s">
        <v>25</v>
      </c>
      <c r="AH4" s="20" t="s">
        <v>33</v>
      </c>
      <c r="AI4" s="20" t="s">
        <v>26</v>
      </c>
      <c r="AJ4" s="21" t="s">
        <v>32</v>
      </c>
      <c r="AK4" s="20" t="s">
        <v>22</v>
      </c>
      <c r="AL4" s="20" t="s">
        <v>34</v>
      </c>
      <c r="AM4" s="20" t="s">
        <v>26</v>
      </c>
      <c r="AN4" s="20" t="s">
        <v>27</v>
      </c>
      <c r="AO4" s="20" t="s">
        <v>35</v>
      </c>
      <c r="AP4" s="20" t="s">
        <v>36</v>
      </c>
      <c r="AQ4" s="20" t="s">
        <v>29</v>
      </c>
      <c r="AR4" s="20" t="s">
        <v>31</v>
      </c>
      <c r="AS4" s="20" t="s">
        <v>37</v>
      </c>
      <c r="AT4" s="22" t="s">
        <v>38</v>
      </c>
      <c r="AU4" s="20" t="s">
        <v>39</v>
      </c>
      <c r="AV4" s="20" t="s">
        <v>40</v>
      </c>
      <c r="AW4" s="20" t="s">
        <v>41</v>
      </c>
      <c r="AX4" s="20" t="s">
        <v>42</v>
      </c>
      <c r="AY4" s="20" t="s">
        <v>43</v>
      </c>
      <c r="AZ4" s="20" t="s">
        <v>44</v>
      </c>
      <c r="BA4" s="20" t="s">
        <v>45</v>
      </c>
      <c r="BB4" s="20" t="s">
        <v>46</v>
      </c>
      <c r="BC4" s="20" t="s">
        <v>47</v>
      </c>
      <c r="BD4" s="20" t="s">
        <v>48</v>
      </c>
      <c r="BE4" s="20" t="s">
        <v>49</v>
      </c>
      <c r="BF4" s="20" t="s">
        <v>50</v>
      </c>
      <c r="BG4" s="20" t="s">
        <v>51</v>
      </c>
      <c r="BH4" s="20" t="s">
        <v>52</v>
      </c>
      <c r="BI4" s="20" t="s">
        <v>53</v>
      </c>
      <c r="BJ4" s="20" t="s">
        <v>54</v>
      </c>
      <c r="BK4" s="20" t="s">
        <v>55</v>
      </c>
      <c r="BL4" s="20" t="s">
        <v>56</v>
      </c>
      <c r="BM4" s="20" t="s">
        <v>57</v>
      </c>
      <c r="BN4" s="21" t="s">
        <v>32</v>
      </c>
    </row>
    <row r="5" ht="26.2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8" t="s">
        <v>58</v>
      </c>
      <c r="Q5" s="19" t="s">
        <v>58</v>
      </c>
      <c r="R5" s="19" t="s">
        <v>58</v>
      </c>
      <c r="S5" s="19" t="s">
        <v>58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</row>
    <row r="6">
      <c r="A6" s="24">
        <v>1.0</v>
      </c>
      <c r="B6" s="25" t="s">
        <v>59</v>
      </c>
      <c r="C6" s="26" t="s">
        <v>60</v>
      </c>
      <c r="D6" s="27" t="s">
        <v>61</v>
      </c>
      <c r="E6" s="28">
        <v>3130.0</v>
      </c>
      <c r="F6" s="29" t="s">
        <v>62</v>
      </c>
      <c r="G6" s="28" t="s">
        <v>63</v>
      </c>
      <c r="H6" s="30" t="s">
        <v>64</v>
      </c>
      <c r="I6" s="31" t="s">
        <v>65</v>
      </c>
      <c r="J6" s="32" t="s">
        <v>66</v>
      </c>
      <c r="K6" s="28">
        <v>40.0</v>
      </c>
      <c r="L6" s="31">
        <v>8.0</v>
      </c>
      <c r="M6" s="31"/>
      <c r="N6" s="31"/>
      <c r="O6" s="31"/>
      <c r="P6" s="33" t="str">
        <f t="shared" ref="P6:P10" si="1">sum(Q6:S6)</f>
        <v>1</v>
      </c>
      <c r="Q6" s="33" t="str">
        <f t="shared" ref="Q6:Q28" si="2">AD6</f>
        <v>1</v>
      </c>
      <c r="R6" s="33" t="str">
        <f t="shared" ref="R6:R28" si="3">AJ6</f>
        <v>0</v>
      </c>
      <c r="S6" s="33" t="str">
        <f t="shared" ref="S6:S28" si="4">BN6</f>
        <v>0</v>
      </c>
      <c r="T6" s="29">
        <v>0.0</v>
      </c>
      <c r="U6" s="29">
        <v>0.0</v>
      </c>
      <c r="V6" s="29">
        <v>0.0</v>
      </c>
      <c r="W6" s="29">
        <v>0.0</v>
      </c>
      <c r="X6" s="29">
        <v>0.0</v>
      </c>
      <c r="Y6" s="29">
        <v>0.0</v>
      </c>
      <c r="Z6" s="29">
        <v>1.0</v>
      </c>
      <c r="AA6" s="29" t="s">
        <v>67</v>
      </c>
      <c r="AB6" s="29">
        <v>0.0</v>
      </c>
      <c r="AC6" s="29" t="s">
        <v>67</v>
      </c>
      <c r="AD6" s="34" t="str">
        <f t="shared" ref="AD6:AD106" si="5">sum(T6:AC6)</f>
        <v>1</v>
      </c>
      <c r="AE6" s="29">
        <v>0.0</v>
      </c>
      <c r="AF6" s="29">
        <v>0.0</v>
      </c>
      <c r="AG6" s="29">
        <v>0.0</v>
      </c>
      <c r="AH6" s="29">
        <v>0.0</v>
      </c>
      <c r="AI6" s="29">
        <v>0.0</v>
      </c>
      <c r="AJ6" s="34" t="str">
        <f t="shared" ref="AJ6:AJ106" si="6">sum(AE6:AI6)</f>
        <v>0</v>
      </c>
      <c r="AK6" s="29">
        <v>0.0</v>
      </c>
      <c r="AL6" s="29">
        <v>0.0</v>
      </c>
      <c r="AM6" s="29">
        <v>0.0</v>
      </c>
      <c r="AN6" s="29">
        <v>0.0</v>
      </c>
      <c r="AO6" s="29">
        <v>0.0</v>
      </c>
      <c r="AP6" s="29">
        <v>0.0</v>
      </c>
      <c r="AQ6" s="29" t="s">
        <v>67</v>
      </c>
      <c r="AR6" s="29" t="s">
        <v>67</v>
      </c>
      <c r="AS6" s="29" t="s">
        <v>67</v>
      </c>
      <c r="AT6" s="29" t="s">
        <v>67</v>
      </c>
      <c r="AU6" s="29" t="s">
        <v>67</v>
      </c>
      <c r="AV6" s="29" t="s">
        <v>67</v>
      </c>
      <c r="AW6" s="29" t="s">
        <v>67</v>
      </c>
      <c r="AX6" s="29" t="s">
        <v>67</v>
      </c>
      <c r="AY6" s="29" t="s">
        <v>67</v>
      </c>
      <c r="AZ6" s="29" t="s">
        <v>67</v>
      </c>
      <c r="BA6" s="29" t="s">
        <v>67</v>
      </c>
      <c r="BB6" s="29" t="s">
        <v>67</v>
      </c>
      <c r="BC6" s="29" t="s">
        <v>67</v>
      </c>
      <c r="BD6" s="29" t="s">
        <v>67</v>
      </c>
      <c r="BE6" s="29" t="s">
        <v>67</v>
      </c>
      <c r="BF6" s="29" t="s">
        <v>67</v>
      </c>
      <c r="BG6" s="29" t="s">
        <v>67</v>
      </c>
      <c r="BH6" s="29" t="s">
        <v>67</v>
      </c>
      <c r="BI6" s="29" t="s">
        <v>67</v>
      </c>
      <c r="BJ6" s="29" t="s">
        <v>67</v>
      </c>
      <c r="BK6" s="29" t="s">
        <v>67</v>
      </c>
      <c r="BL6" s="29" t="s">
        <v>67</v>
      </c>
      <c r="BM6" s="29" t="s">
        <v>67</v>
      </c>
      <c r="BN6" s="34" t="str">
        <f t="shared" ref="BN6:BN106" si="7">sum(AK6:BM6)</f>
        <v>0</v>
      </c>
    </row>
    <row r="7">
      <c r="A7" s="24">
        <v>2.0</v>
      </c>
      <c r="B7" s="25" t="s">
        <v>68</v>
      </c>
      <c r="C7" s="26"/>
      <c r="D7" s="35" t="s">
        <v>69</v>
      </c>
      <c r="E7" s="36">
        <v>3130.0</v>
      </c>
      <c r="F7" s="29" t="s">
        <v>70</v>
      </c>
      <c r="G7" s="28">
        <v>4.0</v>
      </c>
      <c r="H7" s="37" t="s">
        <v>71</v>
      </c>
      <c r="I7" s="31" t="s">
        <v>65</v>
      </c>
      <c r="J7" s="32">
        <v>60.0</v>
      </c>
      <c r="K7" s="32" t="s">
        <v>66</v>
      </c>
      <c r="L7" s="32">
        <v>52.0</v>
      </c>
      <c r="M7" s="32">
        <v>17.0</v>
      </c>
      <c r="N7" s="32">
        <v>9.0</v>
      </c>
      <c r="O7" s="32"/>
      <c r="P7" s="33" t="str">
        <f t="shared" si="1"/>
        <v>5</v>
      </c>
      <c r="Q7" s="33" t="str">
        <f t="shared" si="2"/>
        <v>4</v>
      </c>
      <c r="R7" s="33" t="str">
        <f t="shared" si="3"/>
        <v>1</v>
      </c>
      <c r="S7" s="33" t="str">
        <f t="shared" si="4"/>
        <v>0</v>
      </c>
      <c r="T7" s="38">
        <v>1.0</v>
      </c>
      <c r="U7" s="38">
        <v>0.0</v>
      </c>
      <c r="V7" s="38">
        <v>1.0</v>
      </c>
      <c r="W7" s="38">
        <v>0.0</v>
      </c>
      <c r="X7" s="38">
        <v>2.0</v>
      </c>
      <c r="Y7" s="38">
        <v>0.0</v>
      </c>
      <c r="Z7" s="38" t="s">
        <v>67</v>
      </c>
      <c r="AA7" s="38" t="s">
        <v>67</v>
      </c>
      <c r="AB7" s="38" t="s">
        <v>67</v>
      </c>
      <c r="AC7" s="38" t="s">
        <v>67</v>
      </c>
      <c r="AD7" s="34" t="str">
        <f t="shared" si="5"/>
        <v>4</v>
      </c>
      <c r="AE7" s="38">
        <v>1.0</v>
      </c>
      <c r="AF7" s="38">
        <v>0.0</v>
      </c>
      <c r="AG7" s="38">
        <v>0.0</v>
      </c>
      <c r="AH7" s="38">
        <v>0.0</v>
      </c>
      <c r="AI7" s="38">
        <v>0.0</v>
      </c>
      <c r="AJ7" s="34" t="str">
        <f t="shared" si="6"/>
        <v>1</v>
      </c>
      <c r="AK7" s="38">
        <v>0.0</v>
      </c>
      <c r="AL7" s="38">
        <v>0.0</v>
      </c>
      <c r="AM7" s="38">
        <v>0.0</v>
      </c>
      <c r="AN7" s="38">
        <v>0.0</v>
      </c>
      <c r="AO7" s="38">
        <v>0.0</v>
      </c>
      <c r="AP7" s="29" t="s">
        <v>67</v>
      </c>
      <c r="AQ7" s="38" t="s">
        <v>67</v>
      </c>
      <c r="AR7" s="38" t="s">
        <v>67</v>
      </c>
      <c r="AS7" s="38" t="s">
        <v>67</v>
      </c>
      <c r="AT7" s="38" t="s">
        <v>67</v>
      </c>
      <c r="AU7" s="38" t="s">
        <v>67</v>
      </c>
      <c r="AV7" s="38" t="s">
        <v>67</v>
      </c>
      <c r="AW7" s="38" t="s">
        <v>67</v>
      </c>
      <c r="AX7" s="38" t="s">
        <v>67</v>
      </c>
      <c r="AY7" s="38" t="s">
        <v>67</v>
      </c>
      <c r="AZ7" s="38" t="s">
        <v>67</v>
      </c>
      <c r="BA7" s="38" t="s">
        <v>67</v>
      </c>
      <c r="BB7" s="38" t="s">
        <v>67</v>
      </c>
      <c r="BC7" s="38" t="s">
        <v>67</v>
      </c>
      <c r="BD7" s="38" t="s">
        <v>67</v>
      </c>
      <c r="BE7" s="38" t="s">
        <v>67</v>
      </c>
      <c r="BF7" s="38" t="s">
        <v>67</v>
      </c>
      <c r="BG7" s="38" t="s">
        <v>67</v>
      </c>
      <c r="BH7" s="38" t="s">
        <v>67</v>
      </c>
      <c r="BI7" s="38" t="s">
        <v>67</v>
      </c>
      <c r="BJ7" s="38" t="s">
        <v>67</v>
      </c>
      <c r="BK7" s="38" t="s">
        <v>67</v>
      </c>
      <c r="BL7" s="38" t="s">
        <v>67</v>
      </c>
      <c r="BM7" s="38" t="s">
        <v>67</v>
      </c>
      <c r="BN7" s="34" t="str">
        <f t="shared" si="7"/>
        <v>0</v>
      </c>
    </row>
    <row r="8">
      <c r="A8" s="31">
        <v>3.0</v>
      </c>
      <c r="B8" s="25" t="s">
        <v>72</v>
      </c>
      <c r="C8" s="26" t="s">
        <v>73</v>
      </c>
      <c r="D8" s="27" t="s">
        <v>74</v>
      </c>
      <c r="E8" s="28">
        <v>3130.0</v>
      </c>
      <c r="F8" s="29" t="s">
        <v>75</v>
      </c>
      <c r="G8" s="28" t="s">
        <v>76</v>
      </c>
      <c r="H8" s="28" t="s">
        <v>77</v>
      </c>
      <c r="I8" s="28" t="s">
        <v>78</v>
      </c>
      <c r="J8" s="28">
        <v>1249.0</v>
      </c>
      <c r="K8" s="28">
        <v>488.0</v>
      </c>
      <c r="L8" s="31"/>
      <c r="M8" s="31"/>
      <c r="N8" s="31"/>
      <c r="O8" s="31"/>
      <c r="P8" s="39" t="str">
        <f t="shared" si="1"/>
        <v>0</v>
      </c>
      <c r="Q8" s="39" t="str">
        <f t="shared" si="2"/>
        <v>0</v>
      </c>
      <c r="R8" s="39" t="str">
        <f t="shared" si="3"/>
        <v>0</v>
      </c>
      <c r="S8" s="39" t="str">
        <f t="shared" si="4"/>
        <v>0</v>
      </c>
      <c r="T8" s="29">
        <v>0.0</v>
      </c>
      <c r="U8" s="29">
        <v>0.0</v>
      </c>
      <c r="V8" s="29">
        <v>0.0</v>
      </c>
      <c r="W8" s="29">
        <v>0.0</v>
      </c>
      <c r="X8" s="29">
        <v>0.0</v>
      </c>
      <c r="Y8" s="29">
        <v>0.0</v>
      </c>
      <c r="Z8" s="29" t="s">
        <v>67</v>
      </c>
      <c r="AA8" s="29" t="s">
        <v>67</v>
      </c>
      <c r="AB8" s="29" t="s">
        <v>67</v>
      </c>
      <c r="AC8" s="29" t="s">
        <v>67</v>
      </c>
      <c r="AD8" s="34" t="str">
        <f t="shared" si="5"/>
        <v>0</v>
      </c>
      <c r="AE8" s="29">
        <v>0.0</v>
      </c>
      <c r="AF8" s="29">
        <v>0.0</v>
      </c>
      <c r="AG8" s="29">
        <v>0.0</v>
      </c>
      <c r="AH8" s="29">
        <v>0.0</v>
      </c>
      <c r="AI8" s="29">
        <v>0.0</v>
      </c>
      <c r="AJ8" s="34" t="str">
        <f t="shared" si="6"/>
        <v>0</v>
      </c>
      <c r="AK8" s="29">
        <v>0.0</v>
      </c>
      <c r="AL8" s="29">
        <v>0.0</v>
      </c>
      <c r="AM8" s="29">
        <v>0.0</v>
      </c>
      <c r="AN8" s="29">
        <v>0.0</v>
      </c>
      <c r="AO8" s="29">
        <v>0.0</v>
      </c>
      <c r="AP8" s="29" t="s">
        <v>67</v>
      </c>
      <c r="AQ8" s="29" t="s">
        <v>67</v>
      </c>
      <c r="AR8" s="29" t="s">
        <v>67</v>
      </c>
      <c r="AS8" s="29">
        <v>0.0</v>
      </c>
      <c r="AT8" s="29" t="s">
        <v>67</v>
      </c>
      <c r="AU8" s="29" t="s">
        <v>67</v>
      </c>
      <c r="AV8" s="29" t="s">
        <v>67</v>
      </c>
      <c r="AW8" s="29" t="s">
        <v>67</v>
      </c>
      <c r="AX8" s="29" t="s">
        <v>67</v>
      </c>
      <c r="AY8" s="29" t="s">
        <v>67</v>
      </c>
      <c r="AZ8" s="29" t="s">
        <v>67</v>
      </c>
      <c r="BA8" s="29" t="s">
        <v>67</v>
      </c>
      <c r="BB8" s="29" t="s">
        <v>67</v>
      </c>
      <c r="BC8" s="29" t="s">
        <v>67</v>
      </c>
      <c r="BD8" s="29" t="s">
        <v>67</v>
      </c>
      <c r="BE8" s="29" t="s">
        <v>67</v>
      </c>
      <c r="BF8" s="29">
        <v>0.0</v>
      </c>
      <c r="BG8" s="29">
        <v>0.0</v>
      </c>
      <c r="BH8" s="29" t="s">
        <v>67</v>
      </c>
      <c r="BI8" s="29" t="s">
        <v>67</v>
      </c>
      <c r="BJ8" s="29" t="s">
        <v>67</v>
      </c>
      <c r="BK8" s="29" t="s">
        <v>67</v>
      </c>
      <c r="BL8" s="29" t="s">
        <v>67</v>
      </c>
      <c r="BM8" s="29" t="s">
        <v>67</v>
      </c>
      <c r="BN8" s="34" t="str">
        <f t="shared" si="7"/>
        <v>0</v>
      </c>
    </row>
    <row r="9">
      <c r="A9" s="11"/>
      <c r="B9" s="11"/>
      <c r="C9" s="11"/>
      <c r="D9" s="11"/>
      <c r="E9" s="11"/>
      <c r="F9" s="29" t="s">
        <v>79</v>
      </c>
      <c r="G9" s="11"/>
      <c r="H9" s="11"/>
      <c r="I9" s="11"/>
      <c r="J9" s="11"/>
      <c r="K9" s="11"/>
      <c r="L9" s="11"/>
      <c r="M9" s="11"/>
      <c r="N9" s="11"/>
      <c r="O9" s="11"/>
      <c r="P9" s="39" t="str">
        <f t="shared" si="1"/>
        <v>6</v>
      </c>
      <c r="Q9" s="39" t="str">
        <f t="shared" si="2"/>
        <v>2</v>
      </c>
      <c r="R9" s="39" t="str">
        <f t="shared" si="3"/>
        <v>1</v>
      </c>
      <c r="S9" s="39" t="str">
        <f t="shared" si="4"/>
        <v>3</v>
      </c>
      <c r="T9" s="29">
        <v>1.0</v>
      </c>
      <c r="U9" s="29">
        <v>0.0</v>
      </c>
      <c r="V9" s="29">
        <v>0.0</v>
      </c>
      <c r="W9" s="29">
        <v>0.0</v>
      </c>
      <c r="X9" s="29">
        <v>0.0</v>
      </c>
      <c r="Y9" s="29">
        <v>1.0</v>
      </c>
      <c r="Z9" s="29" t="s">
        <v>67</v>
      </c>
      <c r="AA9" s="29" t="s">
        <v>67</v>
      </c>
      <c r="AB9" s="29" t="s">
        <v>67</v>
      </c>
      <c r="AC9" s="29" t="s">
        <v>67</v>
      </c>
      <c r="AD9" s="34" t="str">
        <f t="shared" si="5"/>
        <v>2</v>
      </c>
      <c r="AE9" s="29">
        <v>0.0</v>
      </c>
      <c r="AF9" s="29">
        <v>0.0</v>
      </c>
      <c r="AG9" s="29">
        <v>0.0</v>
      </c>
      <c r="AH9" s="29">
        <v>1.0</v>
      </c>
      <c r="AI9" s="29">
        <v>0.0</v>
      </c>
      <c r="AJ9" s="34" t="str">
        <f t="shared" si="6"/>
        <v>1</v>
      </c>
      <c r="AK9" s="29">
        <v>3.0</v>
      </c>
      <c r="AL9" s="29">
        <v>0.0</v>
      </c>
      <c r="AM9" s="29">
        <v>0.0</v>
      </c>
      <c r="AN9" s="29">
        <v>0.0</v>
      </c>
      <c r="AO9" s="29">
        <v>0.0</v>
      </c>
      <c r="AP9" s="29" t="s">
        <v>67</v>
      </c>
      <c r="AQ9" s="29" t="s">
        <v>67</v>
      </c>
      <c r="AR9" s="29" t="s">
        <v>67</v>
      </c>
      <c r="AS9" s="29">
        <v>0.0</v>
      </c>
      <c r="AT9" s="29" t="s">
        <v>67</v>
      </c>
      <c r="AU9" s="29" t="s">
        <v>67</v>
      </c>
      <c r="AV9" s="29" t="s">
        <v>67</v>
      </c>
      <c r="AW9" s="29" t="s">
        <v>67</v>
      </c>
      <c r="AX9" s="29" t="s">
        <v>67</v>
      </c>
      <c r="AY9" s="29" t="s">
        <v>67</v>
      </c>
      <c r="AZ9" s="29" t="s">
        <v>67</v>
      </c>
      <c r="BA9" s="29" t="s">
        <v>67</v>
      </c>
      <c r="BB9" s="29" t="s">
        <v>67</v>
      </c>
      <c r="BC9" s="29" t="s">
        <v>67</v>
      </c>
      <c r="BD9" s="29" t="s">
        <v>67</v>
      </c>
      <c r="BE9" s="29" t="s">
        <v>67</v>
      </c>
      <c r="BF9" s="29">
        <v>0.0</v>
      </c>
      <c r="BG9" s="29">
        <v>0.0</v>
      </c>
      <c r="BH9" s="29" t="s">
        <v>67</v>
      </c>
      <c r="BI9" s="29" t="s">
        <v>67</v>
      </c>
      <c r="BJ9" s="29" t="s">
        <v>67</v>
      </c>
      <c r="BK9" s="29" t="s">
        <v>67</v>
      </c>
      <c r="BL9" s="29" t="s">
        <v>67</v>
      </c>
      <c r="BM9" s="29" t="s">
        <v>67</v>
      </c>
      <c r="BN9" s="34" t="str">
        <f t="shared" si="7"/>
        <v>3</v>
      </c>
    </row>
    <row r="10">
      <c r="A10" s="23"/>
      <c r="B10" s="11"/>
      <c r="C10" s="23"/>
      <c r="D10" s="23"/>
      <c r="E10" s="23"/>
      <c r="F10" s="29" t="s">
        <v>80</v>
      </c>
      <c r="G10" s="23"/>
      <c r="H10" s="23"/>
      <c r="I10" s="23"/>
      <c r="J10" s="23"/>
      <c r="K10" s="23"/>
      <c r="L10" s="23"/>
      <c r="M10" s="23"/>
      <c r="N10" s="23"/>
      <c r="O10" s="23"/>
      <c r="P10" s="39" t="str">
        <f t="shared" si="1"/>
        <v>1</v>
      </c>
      <c r="Q10" s="39" t="str">
        <f t="shared" si="2"/>
        <v>1</v>
      </c>
      <c r="R10" s="39" t="str">
        <f t="shared" si="3"/>
        <v>0</v>
      </c>
      <c r="S10" s="39" t="str">
        <f t="shared" si="4"/>
        <v>0</v>
      </c>
      <c r="T10" s="29">
        <v>0.0</v>
      </c>
      <c r="U10" s="29">
        <v>0.0</v>
      </c>
      <c r="V10" s="29">
        <v>0.0</v>
      </c>
      <c r="W10" s="29">
        <v>1.0</v>
      </c>
      <c r="X10" s="29">
        <v>0.0</v>
      </c>
      <c r="Y10" s="29">
        <v>0.0</v>
      </c>
      <c r="Z10" s="29" t="s">
        <v>67</v>
      </c>
      <c r="AA10" s="29" t="s">
        <v>67</v>
      </c>
      <c r="AB10" s="29" t="s">
        <v>67</v>
      </c>
      <c r="AC10" s="29" t="s">
        <v>67</v>
      </c>
      <c r="AD10" s="34" t="str">
        <f t="shared" si="5"/>
        <v>1</v>
      </c>
      <c r="AE10" s="29">
        <v>0.0</v>
      </c>
      <c r="AF10" s="29">
        <v>0.0</v>
      </c>
      <c r="AG10" s="29">
        <v>0.0</v>
      </c>
      <c r="AH10" s="29">
        <v>0.0</v>
      </c>
      <c r="AI10" s="29">
        <v>0.0</v>
      </c>
      <c r="AJ10" s="34" t="str">
        <f t="shared" si="6"/>
        <v>0</v>
      </c>
      <c r="AK10" s="29">
        <v>0.0</v>
      </c>
      <c r="AL10" s="29">
        <v>0.0</v>
      </c>
      <c r="AM10" s="29">
        <v>0.0</v>
      </c>
      <c r="AN10" s="29">
        <v>0.0</v>
      </c>
      <c r="AO10" s="29">
        <v>0.0</v>
      </c>
      <c r="AP10" s="29" t="s">
        <v>67</v>
      </c>
      <c r="AQ10" s="29" t="s">
        <v>67</v>
      </c>
      <c r="AR10" s="29" t="s">
        <v>67</v>
      </c>
      <c r="AS10" s="29">
        <v>0.0</v>
      </c>
      <c r="AT10" s="29" t="s">
        <v>67</v>
      </c>
      <c r="AU10" s="29" t="s">
        <v>67</v>
      </c>
      <c r="AV10" s="29" t="s">
        <v>67</v>
      </c>
      <c r="AW10" s="29" t="s">
        <v>67</v>
      </c>
      <c r="AX10" s="29" t="s">
        <v>67</v>
      </c>
      <c r="AY10" s="29" t="s">
        <v>67</v>
      </c>
      <c r="AZ10" s="29" t="s">
        <v>67</v>
      </c>
      <c r="BA10" s="29" t="s">
        <v>67</v>
      </c>
      <c r="BB10" s="29" t="s">
        <v>67</v>
      </c>
      <c r="BC10" s="29" t="s">
        <v>67</v>
      </c>
      <c r="BD10" s="29" t="s">
        <v>67</v>
      </c>
      <c r="BE10" s="29" t="s">
        <v>67</v>
      </c>
      <c r="BF10" s="29">
        <v>0.0</v>
      </c>
      <c r="BG10" s="29">
        <v>0.0</v>
      </c>
      <c r="BH10" s="29" t="s">
        <v>67</v>
      </c>
      <c r="BI10" s="29" t="s">
        <v>67</v>
      </c>
      <c r="BJ10" s="29" t="s">
        <v>67</v>
      </c>
      <c r="BK10" s="29" t="s">
        <v>67</v>
      </c>
      <c r="BL10" s="29" t="s">
        <v>67</v>
      </c>
      <c r="BM10" s="29" t="s">
        <v>67</v>
      </c>
      <c r="BN10" s="34" t="str">
        <f t="shared" si="7"/>
        <v>0</v>
      </c>
    </row>
    <row r="11">
      <c r="A11" s="28">
        <v>4.0</v>
      </c>
      <c r="B11" s="25" t="s">
        <v>81</v>
      </c>
      <c r="C11" s="40" t="s">
        <v>82</v>
      </c>
      <c r="D11" s="35" t="s">
        <v>83</v>
      </c>
      <c r="E11" s="41">
        <v>3130.0</v>
      </c>
      <c r="F11" s="42" t="s">
        <v>84</v>
      </c>
      <c r="G11" s="31" t="s">
        <v>85</v>
      </c>
      <c r="H11" s="43" t="s">
        <v>86</v>
      </c>
      <c r="I11" s="36" t="s">
        <v>87</v>
      </c>
      <c r="J11" s="28">
        <v>1262.0</v>
      </c>
      <c r="K11" s="28">
        <v>394.0</v>
      </c>
      <c r="L11" s="31">
        <v>119.0</v>
      </c>
      <c r="M11" s="31">
        <v>23.0</v>
      </c>
      <c r="N11" s="31"/>
      <c r="O11" s="31"/>
      <c r="P11" s="33" t="s">
        <v>88</v>
      </c>
      <c r="Q11" s="33" t="str">
        <f t="shared" si="2"/>
        <v>0</v>
      </c>
      <c r="R11" s="33" t="str">
        <f t="shared" si="3"/>
        <v>0</v>
      </c>
      <c r="S11" s="33" t="str">
        <f t="shared" si="4"/>
        <v>0</v>
      </c>
      <c r="T11" s="29">
        <v>0.0</v>
      </c>
      <c r="U11" s="29">
        <v>0.0</v>
      </c>
      <c r="V11" s="29">
        <v>0.0</v>
      </c>
      <c r="W11" s="29">
        <v>0.0</v>
      </c>
      <c r="X11" s="29">
        <v>0.0</v>
      </c>
      <c r="Y11" s="29">
        <v>0.0</v>
      </c>
      <c r="Z11" s="29" t="s">
        <v>67</v>
      </c>
      <c r="AA11" s="29" t="s">
        <v>67</v>
      </c>
      <c r="AB11" s="29" t="s">
        <v>67</v>
      </c>
      <c r="AC11" s="29" t="s">
        <v>67</v>
      </c>
      <c r="AD11" s="34" t="str">
        <f t="shared" si="5"/>
        <v>0</v>
      </c>
      <c r="AE11" s="29">
        <v>0.0</v>
      </c>
      <c r="AF11" s="29">
        <v>0.0</v>
      </c>
      <c r="AG11" s="29">
        <v>0.0</v>
      </c>
      <c r="AH11" s="29">
        <v>0.0</v>
      </c>
      <c r="AI11" s="29">
        <v>0.0</v>
      </c>
      <c r="AJ11" s="34" t="str">
        <f t="shared" si="6"/>
        <v>0</v>
      </c>
      <c r="AK11" s="29">
        <v>0.0</v>
      </c>
      <c r="AL11" s="29">
        <v>0.0</v>
      </c>
      <c r="AM11" s="29">
        <v>0.0</v>
      </c>
      <c r="AN11" s="29">
        <v>0.0</v>
      </c>
      <c r="AO11" s="29">
        <v>0.0</v>
      </c>
      <c r="AP11" s="29" t="s">
        <v>67</v>
      </c>
      <c r="AQ11" s="29" t="s">
        <v>67</v>
      </c>
      <c r="AR11" s="29" t="s">
        <v>67</v>
      </c>
      <c r="AS11" s="29" t="s">
        <v>67</v>
      </c>
      <c r="AT11" s="29" t="s">
        <v>67</v>
      </c>
      <c r="AU11" s="29" t="s">
        <v>67</v>
      </c>
      <c r="AV11" s="29" t="s">
        <v>67</v>
      </c>
      <c r="AW11" s="29" t="s">
        <v>67</v>
      </c>
      <c r="AX11" s="29" t="s">
        <v>67</v>
      </c>
      <c r="AY11" s="29" t="s">
        <v>67</v>
      </c>
      <c r="AZ11" s="29" t="s">
        <v>67</v>
      </c>
      <c r="BA11" s="29" t="s">
        <v>67</v>
      </c>
      <c r="BB11" s="29" t="s">
        <v>67</v>
      </c>
      <c r="BC11" s="29" t="s">
        <v>67</v>
      </c>
      <c r="BD11" s="29" t="s">
        <v>67</v>
      </c>
      <c r="BE11" s="29" t="s">
        <v>67</v>
      </c>
      <c r="BF11" s="29">
        <v>0.0</v>
      </c>
      <c r="BG11" s="29" t="s">
        <v>67</v>
      </c>
      <c r="BH11" s="29" t="s">
        <v>67</v>
      </c>
      <c r="BI11" s="29" t="s">
        <v>67</v>
      </c>
      <c r="BJ11" s="29" t="s">
        <v>67</v>
      </c>
      <c r="BK11" s="29" t="s">
        <v>67</v>
      </c>
      <c r="BL11" s="29" t="s">
        <v>67</v>
      </c>
      <c r="BM11" s="29" t="s">
        <v>67</v>
      </c>
      <c r="BN11" s="34" t="str">
        <f t="shared" si="7"/>
        <v>0</v>
      </c>
    </row>
    <row r="12">
      <c r="A12" s="23"/>
      <c r="B12" s="23"/>
      <c r="C12" s="23"/>
      <c r="D12" s="44"/>
      <c r="E12" s="23"/>
      <c r="F12" s="42" t="s">
        <v>79</v>
      </c>
      <c r="G12" s="23"/>
      <c r="H12" s="14"/>
      <c r="I12" s="14"/>
      <c r="J12" s="23"/>
      <c r="K12" s="23"/>
      <c r="L12" s="23"/>
      <c r="M12" s="23"/>
      <c r="N12" s="23"/>
      <c r="O12" s="23"/>
      <c r="P12" s="33" t="s">
        <v>88</v>
      </c>
      <c r="Q12" s="33" t="str">
        <f t="shared" si="2"/>
        <v>0</v>
      </c>
      <c r="R12" s="33" t="str">
        <f t="shared" si="3"/>
        <v>0</v>
      </c>
      <c r="S12" s="33" t="str">
        <f t="shared" si="4"/>
        <v>0</v>
      </c>
      <c r="T12" s="29">
        <v>0.0</v>
      </c>
      <c r="U12" s="29">
        <v>0.0</v>
      </c>
      <c r="V12" s="29">
        <v>0.0</v>
      </c>
      <c r="W12" s="29">
        <v>0.0</v>
      </c>
      <c r="X12" s="29">
        <v>0.0</v>
      </c>
      <c r="Y12" s="29">
        <v>0.0</v>
      </c>
      <c r="Z12" s="29" t="s">
        <v>67</v>
      </c>
      <c r="AA12" s="29" t="s">
        <v>67</v>
      </c>
      <c r="AB12" s="29" t="s">
        <v>67</v>
      </c>
      <c r="AC12" s="29" t="s">
        <v>67</v>
      </c>
      <c r="AD12" s="34" t="str">
        <f t="shared" si="5"/>
        <v>0</v>
      </c>
      <c r="AE12" s="29">
        <v>0.0</v>
      </c>
      <c r="AF12" s="29">
        <v>0.0</v>
      </c>
      <c r="AG12" s="29">
        <v>0.0</v>
      </c>
      <c r="AH12" s="29">
        <v>0.0</v>
      </c>
      <c r="AI12" s="29">
        <v>0.0</v>
      </c>
      <c r="AJ12" s="34" t="str">
        <f t="shared" si="6"/>
        <v>0</v>
      </c>
      <c r="AK12" s="29">
        <v>0.0</v>
      </c>
      <c r="AL12" s="29">
        <v>0.0</v>
      </c>
      <c r="AM12" s="29">
        <v>0.0</v>
      </c>
      <c r="AN12" s="29">
        <v>0.0</v>
      </c>
      <c r="AO12" s="29">
        <v>0.0</v>
      </c>
      <c r="AP12" s="29" t="s">
        <v>67</v>
      </c>
      <c r="AQ12" s="29" t="s">
        <v>67</v>
      </c>
      <c r="AR12" s="29" t="s">
        <v>67</v>
      </c>
      <c r="AS12" s="29" t="s">
        <v>67</v>
      </c>
      <c r="AT12" s="29" t="s">
        <v>67</v>
      </c>
      <c r="AU12" s="29" t="s">
        <v>67</v>
      </c>
      <c r="AV12" s="29" t="s">
        <v>67</v>
      </c>
      <c r="AW12" s="29" t="s">
        <v>67</v>
      </c>
      <c r="AX12" s="29" t="s">
        <v>67</v>
      </c>
      <c r="AY12" s="29" t="s">
        <v>67</v>
      </c>
      <c r="AZ12" s="29" t="s">
        <v>67</v>
      </c>
      <c r="BA12" s="29" t="s">
        <v>67</v>
      </c>
      <c r="BB12" s="29" t="s">
        <v>67</v>
      </c>
      <c r="BC12" s="29" t="s">
        <v>67</v>
      </c>
      <c r="BD12" s="29" t="s">
        <v>67</v>
      </c>
      <c r="BE12" s="29" t="s">
        <v>67</v>
      </c>
      <c r="BF12" s="29">
        <v>0.0</v>
      </c>
      <c r="BG12" s="29" t="s">
        <v>67</v>
      </c>
      <c r="BH12" s="29" t="s">
        <v>67</v>
      </c>
      <c r="BI12" s="29" t="s">
        <v>67</v>
      </c>
      <c r="BJ12" s="29" t="s">
        <v>67</v>
      </c>
      <c r="BK12" s="29" t="s">
        <v>67</v>
      </c>
      <c r="BL12" s="29" t="s">
        <v>67</v>
      </c>
      <c r="BM12" s="29" t="s">
        <v>67</v>
      </c>
      <c r="BN12" s="34" t="str">
        <f t="shared" si="7"/>
        <v>0</v>
      </c>
    </row>
    <row r="13">
      <c r="A13" s="45">
        <v>5.0</v>
      </c>
      <c r="B13" s="25" t="s">
        <v>89</v>
      </c>
      <c r="C13" s="26" t="s">
        <v>90</v>
      </c>
      <c r="D13" s="27" t="s">
        <v>83</v>
      </c>
      <c r="E13" s="28">
        <v>3130.0</v>
      </c>
      <c r="F13" s="29" t="s">
        <v>91</v>
      </c>
      <c r="G13" s="28">
        <v>9.5</v>
      </c>
      <c r="H13" s="36" t="s">
        <v>92</v>
      </c>
      <c r="I13" s="31" t="s">
        <v>65</v>
      </c>
      <c r="J13" s="32">
        <v>1769.0</v>
      </c>
      <c r="K13" s="28">
        <v>1483.0</v>
      </c>
      <c r="L13" s="31"/>
      <c r="M13" s="31">
        <v>84.0</v>
      </c>
      <c r="N13" s="31">
        <v>4.0</v>
      </c>
      <c r="O13" s="31"/>
      <c r="P13" s="33" t="s">
        <v>88</v>
      </c>
      <c r="Q13" s="33" t="str">
        <f t="shared" si="2"/>
        <v>0</v>
      </c>
      <c r="R13" s="33" t="str">
        <f t="shared" si="3"/>
        <v>0</v>
      </c>
      <c r="S13" s="33" t="str">
        <f t="shared" si="4"/>
        <v>0</v>
      </c>
      <c r="T13" s="29">
        <v>0.0</v>
      </c>
      <c r="U13" s="29">
        <v>0.0</v>
      </c>
      <c r="V13" s="29">
        <v>0.0</v>
      </c>
      <c r="W13" s="29">
        <v>0.0</v>
      </c>
      <c r="X13" s="29">
        <v>0.0</v>
      </c>
      <c r="Y13" s="29">
        <v>0.0</v>
      </c>
      <c r="Z13" s="29">
        <v>0.0</v>
      </c>
      <c r="AA13" s="29">
        <v>0.0</v>
      </c>
      <c r="AB13" s="29">
        <v>0.0</v>
      </c>
      <c r="AC13" s="29">
        <v>0.0</v>
      </c>
      <c r="AD13" s="34" t="str">
        <f t="shared" si="5"/>
        <v>0</v>
      </c>
      <c r="AE13" s="29">
        <v>0.0</v>
      </c>
      <c r="AF13" s="29">
        <v>0.0</v>
      </c>
      <c r="AG13" s="29">
        <v>0.0</v>
      </c>
      <c r="AH13" s="29">
        <v>0.0</v>
      </c>
      <c r="AI13" s="29">
        <v>0.0</v>
      </c>
      <c r="AJ13" s="34" t="str">
        <f t="shared" si="6"/>
        <v>0</v>
      </c>
      <c r="AK13" s="29">
        <v>0.0</v>
      </c>
      <c r="AL13" s="29">
        <v>0.0</v>
      </c>
      <c r="AM13" s="29">
        <v>0.0</v>
      </c>
      <c r="AN13" s="29">
        <v>0.0</v>
      </c>
      <c r="AO13" s="29">
        <v>0.0</v>
      </c>
      <c r="AP13" s="29" t="s">
        <v>67</v>
      </c>
      <c r="AQ13" s="29">
        <v>0.0</v>
      </c>
      <c r="AR13" s="29">
        <v>0.0</v>
      </c>
      <c r="AS13" s="29" t="s">
        <v>67</v>
      </c>
      <c r="AT13" s="29" t="s">
        <v>67</v>
      </c>
      <c r="AU13" s="29" t="s">
        <v>67</v>
      </c>
      <c r="AV13" s="29" t="s">
        <v>67</v>
      </c>
      <c r="AW13" s="29" t="s">
        <v>67</v>
      </c>
      <c r="AX13" s="29" t="s">
        <v>67</v>
      </c>
      <c r="AY13" s="29" t="s">
        <v>67</v>
      </c>
      <c r="AZ13" s="29" t="s">
        <v>67</v>
      </c>
      <c r="BA13" s="29" t="s">
        <v>67</v>
      </c>
      <c r="BB13" s="29" t="s">
        <v>67</v>
      </c>
      <c r="BC13" s="29" t="s">
        <v>67</v>
      </c>
      <c r="BD13" s="29" t="s">
        <v>67</v>
      </c>
      <c r="BE13" s="29" t="s">
        <v>67</v>
      </c>
      <c r="BF13" s="29">
        <v>0.0</v>
      </c>
      <c r="BG13" s="29">
        <v>0.0</v>
      </c>
      <c r="BH13" s="29" t="s">
        <v>67</v>
      </c>
      <c r="BI13" s="29" t="s">
        <v>67</v>
      </c>
      <c r="BJ13" s="29" t="s">
        <v>67</v>
      </c>
      <c r="BK13" s="29" t="s">
        <v>67</v>
      </c>
      <c r="BL13" s="29" t="s">
        <v>67</v>
      </c>
      <c r="BM13" s="29" t="s">
        <v>67</v>
      </c>
      <c r="BN13" s="34" t="str">
        <f t="shared" si="7"/>
        <v>0</v>
      </c>
    </row>
    <row r="14">
      <c r="A14" s="23"/>
      <c r="B14" s="11"/>
      <c r="C14" s="11"/>
      <c r="D14" s="23"/>
      <c r="E14" s="11"/>
      <c r="F14" s="38" t="s">
        <v>93</v>
      </c>
      <c r="G14" s="32">
        <v>6.25</v>
      </c>
      <c r="H14" s="14"/>
      <c r="I14" s="11"/>
      <c r="J14" s="11"/>
      <c r="K14" s="11"/>
      <c r="L14" s="11"/>
      <c r="M14" s="11"/>
      <c r="N14" s="11"/>
      <c r="O14" s="11"/>
      <c r="P14" s="33" t="str">
        <f t="shared" ref="P14:P19" si="8">sum(Q14:S14)</f>
        <v>4</v>
      </c>
      <c r="Q14" s="33" t="str">
        <f t="shared" si="2"/>
        <v>4</v>
      </c>
      <c r="R14" s="33" t="str">
        <f t="shared" si="3"/>
        <v>0</v>
      </c>
      <c r="S14" s="33" t="str">
        <f t="shared" si="4"/>
        <v>0</v>
      </c>
      <c r="T14" s="29">
        <v>0.0</v>
      </c>
      <c r="U14" s="29">
        <v>0.0</v>
      </c>
      <c r="V14" s="29">
        <v>1.0</v>
      </c>
      <c r="W14" s="29">
        <v>0.0</v>
      </c>
      <c r="X14" s="29">
        <v>1.0</v>
      </c>
      <c r="Y14" s="29">
        <v>2.0</v>
      </c>
      <c r="Z14" s="29">
        <v>0.0</v>
      </c>
      <c r="AA14" s="29">
        <v>0.0</v>
      </c>
      <c r="AB14" s="29">
        <v>0.0</v>
      </c>
      <c r="AC14" s="29">
        <v>0.0</v>
      </c>
      <c r="AD14" s="34" t="str">
        <f t="shared" si="5"/>
        <v>4</v>
      </c>
      <c r="AE14" s="29">
        <v>0.0</v>
      </c>
      <c r="AF14" s="29">
        <v>0.0</v>
      </c>
      <c r="AG14" s="29">
        <v>0.0</v>
      </c>
      <c r="AH14" s="29">
        <v>0.0</v>
      </c>
      <c r="AI14" s="29">
        <v>0.0</v>
      </c>
      <c r="AJ14" s="34" t="str">
        <f t="shared" si="6"/>
        <v>0</v>
      </c>
      <c r="AK14" s="29">
        <v>0.0</v>
      </c>
      <c r="AL14" s="29">
        <v>0.0</v>
      </c>
      <c r="AM14" s="29">
        <v>0.0</v>
      </c>
      <c r="AN14" s="29">
        <v>0.0</v>
      </c>
      <c r="AO14" s="29">
        <v>0.0</v>
      </c>
      <c r="AP14" s="29" t="s">
        <v>67</v>
      </c>
      <c r="AQ14" s="29">
        <v>0.0</v>
      </c>
      <c r="AR14" s="29">
        <v>0.0</v>
      </c>
      <c r="AS14" s="29" t="s">
        <v>67</v>
      </c>
      <c r="AT14" s="29" t="s">
        <v>67</v>
      </c>
      <c r="AU14" s="29" t="s">
        <v>67</v>
      </c>
      <c r="AV14" s="29" t="s">
        <v>67</v>
      </c>
      <c r="AW14" s="29" t="s">
        <v>67</v>
      </c>
      <c r="AX14" s="29" t="s">
        <v>67</v>
      </c>
      <c r="AY14" s="29" t="s">
        <v>67</v>
      </c>
      <c r="AZ14" s="29" t="s">
        <v>67</v>
      </c>
      <c r="BA14" s="29" t="s">
        <v>67</v>
      </c>
      <c r="BB14" s="29" t="s">
        <v>67</v>
      </c>
      <c r="BC14" s="29" t="s">
        <v>67</v>
      </c>
      <c r="BD14" s="29" t="s">
        <v>67</v>
      </c>
      <c r="BE14" s="29" t="s">
        <v>67</v>
      </c>
      <c r="BF14" s="29">
        <v>0.0</v>
      </c>
      <c r="BG14" s="29">
        <v>0.0</v>
      </c>
      <c r="BH14" s="29" t="s">
        <v>67</v>
      </c>
      <c r="BI14" s="29" t="s">
        <v>67</v>
      </c>
      <c r="BJ14" s="29" t="s">
        <v>67</v>
      </c>
      <c r="BK14" s="29" t="s">
        <v>67</v>
      </c>
      <c r="BL14" s="29" t="s">
        <v>67</v>
      </c>
      <c r="BM14" s="29" t="s">
        <v>67</v>
      </c>
      <c r="BN14" s="34" t="str">
        <f t="shared" si="7"/>
        <v>0</v>
      </c>
    </row>
    <row r="15">
      <c r="A15" s="46">
        <v>6.0</v>
      </c>
      <c r="B15" s="47" t="s">
        <v>94</v>
      </c>
      <c r="C15" s="48" t="s">
        <v>95</v>
      </c>
      <c r="D15" s="27" t="s">
        <v>96</v>
      </c>
      <c r="E15" s="32">
        <v>3130.0</v>
      </c>
      <c r="F15" s="38" t="s">
        <v>97</v>
      </c>
      <c r="G15" s="32">
        <v>13.23</v>
      </c>
      <c r="H15" s="49" t="s">
        <v>98</v>
      </c>
      <c r="I15" s="32" t="s">
        <v>99</v>
      </c>
      <c r="J15" s="32">
        <v>2016.0</v>
      </c>
      <c r="K15" s="32">
        <v>854.0</v>
      </c>
      <c r="L15" s="32">
        <v>512.0</v>
      </c>
      <c r="M15" s="32">
        <v>17.0</v>
      </c>
      <c r="N15" s="32">
        <v>6.0</v>
      </c>
      <c r="O15" s="32"/>
      <c r="P15" s="33" t="str">
        <f t="shared" si="8"/>
        <v>2</v>
      </c>
      <c r="Q15" s="33" t="str">
        <f t="shared" si="2"/>
        <v>2</v>
      </c>
      <c r="R15" s="33" t="str">
        <f t="shared" si="3"/>
        <v>0</v>
      </c>
      <c r="S15" s="33" t="str">
        <f t="shared" si="4"/>
        <v>0</v>
      </c>
      <c r="T15" s="38">
        <v>2.0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 t="s">
        <v>67</v>
      </c>
      <c r="AB15" s="38" t="s">
        <v>67</v>
      </c>
      <c r="AC15" s="38" t="s">
        <v>67</v>
      </c>
      <c r="AD15" s="34" t="str">
        <f t="shared" si="5"/>
        <v>2</v>
      </c>
      <c r="AE15" s="38">
        <v>0.0</v>
      </c>
      <c r="AF15" s="38">
        <v>0.0</v>
      </c>
      <c r="AG15" s="38">
        <v>0.0</v>
      </c>
      <c r="AH15" s="38">
        <v>0.0</v>
      </c>
      <c r="AI15" s="38">
        <v>0.0</v>
      </c>
      <c r="AJ15" s="34" t="str">
        <f t="shared" si="6"/>
        <v>0</v>
      </c>
      <c r="AK15" s="38">
        <v>0.0</v>
      </c>
      <c r="AL15" s="38">
        <v>0.0</v>
      </c>
      <c r="AM15" s="38">
        <v>0.0</v>
      </c>
      <c r="AN15" s="38">
        <v>0.0</v>
      </c>
      <c r="AO15" s="38">
        <v>0.0</v>
      </c>
      <c r="AP15" s="29" t="s">
        <v>67</v>
      </c>
      <c r="AQ15" s="38" t="s">
        <v>67</v>
      </c>
      <c r="AR15" s="38" t="s">
        <v>67</v>
      </c>
      <c r="AS15" s="38" t="s">
        <v>67</v>
      </c>
      <c r="AT15" s="38" t="s">
        <v>67</v>
      </c>
      <c r="AU15" s="38" t="s">
        <v>67</v>
      </c>
      <c r="AV15" s="38" t="s">
        <v>67</v>
      </c>
      <c r="AW15" s="38" t="s">
        <v>67</v>
      </c>
      <c r="AX15" s="38" t="s">
        <v>67</v>
      </c>
      <c r="AY15" s="38" t="s">
        <v>67</v>
      </c>
      <c r="AZ15" s="38" t="s">
        <v>67</v>
      </c>
      <c r="BA15" s="38" t="s">
        <v>67</v>
      </c>
      <c r="BB15" s="38" t="s">
        <v>67</v>
      </c>
      <c r="BC15" s="38" t="s">
        <v>67</v>
      </c>
      <c r="BD15" s="38" t="s">
        <v>67</v>
      </c>
      <c r="BE15" s="38" t="s">
        <v>67</v>
      </c>
      <c r="BF15" s="38">
        <v>0.0</v>
      </c>
      <c r="BG15" s="38">
        <v>0.0</v>
      </c>
      <c r="BH15" s="38" t="s">
        <v>67</v>
      </c>
      <c r="BI15" s="38" t="s">
        <v>67</v>
      </c>
      <c r="BJ15" s="38" t="s">
        <v>67</v>
      </c>
      <c r="BK15" s="38" t="s">
        <v>67</v>
      </c>
      <c r="BL15" s="38" t="s">
        <v>67</v>
      </c>
      <c r="BM15" s="38" t="s">
        <v>67</v>
      </c>
      <c r="BN15" s="34" t="str">
        <f t="shared" si="7"/>
        <v>0</v>
      </c>
    </row>
    <row r="16">
      <c r="A16" s="11"/>
      <c r="B16" s="11"/>
      <c r="C16" s="11"/>
      <c r="D16" s="11"/>
      <c r="E16" s="11"/>
      <c r="F16" s="38" t="s">
        <v>100</v>
      </c>
      <c r="G16" s="32">
        <v>15.23</v>
      </c>
      <c r="H16" s="14"/>
      <c r="I16" s="11"/>
      <c r="J16" s="11"/>
      <c r="K16" s="11"/>
      <c r="L16" s="11"/>
      <c r="M16" s="11"/>
      <c r="N16" s="11"/>
      <c r="O16" s="11"/>
      <c r="P16" s="33" t="str">
        <f t="shared" si="8"/>
        <v>0</v>
      </c>
      <c r="Q16" s="33" t="str">
        <f t="shared" si="2"/>
        <v>0</v>
      </c>
      <c r="R16" s="33" t="str">
        <f t="shared" si="3"/>
        <v>0</v>
      </c>
      <c r="S16" s="33" t="str">
        <f t="shared" si="4"/>
        <v>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 t="s">
        <v>67</v>
      </c>
      <c r="AB16" s="38" t="s">
        <v>67</v>
      </c>
      <c r="AC16" s="38" t="s">
        <v>67</v>
      </c>
      <c r="AD16" s="34" t="str">
        <f t="shared" si="5"/>
        <v>0</v>
      </c>
      <c r="AE16" s="38">
        <v>0.0</v>
      </c>
      <c r="AF16" s="38">
        <v>0.0</v>
      </c>
      <c r="AG16" s="38">
        <v>0.0</v>
      </c>
      <c r="AH16" s="38">
        <v>0.0</v>
      </c>
      <c r="AI16" s="38">
        <v>0.0</v>
      </c>
      <c r="AJ16" s="34" t="str">
        <f t="shared" si="6"/>
        <v>0</v>
      </c>
      <c r="AK16" s="38">
        <v>0.0</v>
      </c>
      <c r="AL16" s="38">
        <v>0.0</v>
      </c>
      <c r="AM16" s="38">
        <v>0.0</v>
      </c>
      <c r="AN16" s="38">
        <v>0.0</v>
      </c>
      <c r="AO16" s="38">
        <v>0.0</v>
      </c>
      <c r="AP16" s="29" t="s">
        <v>67</v>
      </c>
      <c r="AQ16" s="38" t="s">
        <v>67</v>
      </c>
      <c r="AR16" s="38" t="s">
        <v>67</v>
      </c>
      <c r="AS16" s="38" t="s">
        <v>67</v>
      </c>
      <c r="AT16" s="38" t="s">
        <v>67</v>
      </c>
      <c r="AU16" s="38" t="s">
        <v>67</v>
      </c>
      <c r="AV16" s="38" t="s">
        <v>67</v>
      </c>
      <c r="AW16" s="38" t="s">
        <v>67</v>
      </c>
      <c r="AX16" s="38" t="s">
        <v>67</v>
      </c>
      <c r="AY16" s="38" t="s">
        <v>67</v>
      </c>
      <c r="AZ16" s="38" t="s">
        <v>67</v>
      </c>
      <c r="BA16" s="38" t="s">
        <v>67</v>
      </c>
      <c r="BB16" s="38" t="s">
        <v>67</v>
      </c>
      <c r="BC16" s="38" t="s">
        <v>67</v>
      </c>
      <c r="BD16" s="38" t="s">
        <v>67</v>
      </c>
      <c r="BE16" s="38" t="s">
        <v>67</v>
      </c>
      <c r="BF16" s="38">
        <v>0.0</v>
      </c>
      <c r="BG16" s="38">
        <v>0.0</v>
      </c>
      <c r="BH16" s="38" t="s">
        <v>67</v>
      </c>
      <c r="BI16" s="38" t="s">
        <v>67</v>
      </c>
      <c r="BJ16" s="38" t="s">
        <v>67</v>
      </c>
      <c r="BK16" s="38" t="s">
        <v>67</v>
      </c>
      <c r="BL16" s="38" t="s">
        <v>67</v>
      </c>
      <c r="BM16" s="38" t="s">
        <v>67</v>
      </c>
      <c r="BN16" s="34" t="str">
        <f t="shared" si="7"/>
        <v>0</v>
      </c>
    </row>
    <row r="17">
      <c r="A17" s="23"/>
      <c r="B17" s="11"/>
      <c r="C17" s="11"/>
      <c r="D17" s="23"/>
      <c r="E17" s="23"/>
      <c r="F17" s="38" t="s">
        <v>101</v>
      </c>
      <c r="G17" s="38">
        <v>6.03</v>
      </c>
      <c r="H17" s="50" t="s">
        <v>102</v>
      </c>
      <c r="I17" s="23"/>
      <c r="J17" s="11"/>
      <c r="K17" s="11"/>
      <c r="L17" s="11"/>
      <c r="M17" s="11"/>
      <c r="N17" s="11"/>
      <c r="O17" s="11"/>
      <c r="P17" s="33" t="str">
        <f t="shared" si="8"/>
        <v>0</v>
      </c>
      <c r="Q17" s="33" t="str">
        <f t="shared" si="2"/>
        <v>0</v>
      </c>
      <c r="R17" s="33" t="str">
        <f t="shared" si="3"/>
        <v>0</v>
      </c>
      <c r="S17" s="33" t="str">
        <f t="shared" si="4"/>
        <v>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 t="s">
        <v>67</v>
      </c>
      <c r="AB17" s="38" t="s">
        <v>67</v>
      </c>
      <c r="AC17" s="38" t="s">
        <v>67</v>
      </c>
      <c r="AD17" s="34" t="str">
        <f t="shared" si="5"/>
        <v>0</v>
      </c>
      <c r="AE17" s="38">
        <v>0.0</v>
      </c>
      <c r="AF17" s="38">
        <v>0.0</v>
      </c>
      <c r="AG17" s="38">
        <v>0.0</v>
      </c>
      <c r="AH17" s="38">
        <v>0.0</v>
      </c>
      <c r="AI17" s="38">
        <v>0.0</v>
      </c>
      <c r="AJ17" s="34" t="str">
        <f t="shared" si="6"/>
        <v>0</v>
      </c>
      <c r="AK17" s="38">
        <v>0.0</v>
      </c>
      <c r="AL17" s="38">
        <v>0.0</v>
      </c>
      <c r="AM17" s="38">
        <v>0.0</v>
      </c>
      <c r="AN17" s="38">
        <v>0.0</v>
      </c>
      <c r="AO17" s="38">
        <v>0.0</v>
      </c>
      <c r="AP17" s="29" t="s">
        <v>67</v>
      </c>
      <c r="AQ17" s="38" t="s">
        <v>67</v>
      </c>
      <c r="AR17" s="38" t="s">
        <v>67</v>
      </c>
      <c r="AS17" s="38">
        <v>0.0</v>
      </c>
      <c r="AT17" s="38" t="s">
        <v>67</v>
      </c>
      <c r="AU17" s="38" t="s">
        <v>67</v>
      </c>
      <c r="AV17" s="38" t="s">
        <v>67</v>
      </c>
      <c r="AW17" s="38" t="s">
        <v>67</v>
      </c>
      <c r="AX17" s="38" t="s">
        <v>67</v>
      </c>
      <c r="AY17" s="38" t="s">
        <v>67</v>
      </c>
      <c r="AZ17" s="38" t="s">
        <v>67</v>
      </c>
      <c r="BA17" s="38" t="s">
        <v>67</v>
      </c>
      <c r="BB17" s="38" t="s">
        <v>67</v>
      </c>
      <c r="BC17" s="38" t="s">
        <v>67</v>
      </c>
      <c r="BD17" s="38" t="s">
        <v>67</v>
      </c>
      <c r="BE17" s="38" t="s">
        <v>67</v>
      </c>
      <c r="BF17" s="38">
        <v>0.0</v>
      </c>
      <c r="BG17" s="38" t="s">
        <v>67</v>
      </c>
      <c r="BH17" s="38" t="s">
        <v>67</v>
      </c>
      <c r="BI17" s="38" t="s">
        <v>67</v>
      </c>
      <c r="BJ17" s="38" t="s">
        <v>67</v>
      </c>
      <c r="BK17" s="38" t="s">
        <v>67</v>
      </c>
      <c r="BL17" s="38" t="s">
        <v>67</v>
      </c>
      <c r="BM17" s="38" t="s">
        <v>67</v>
      </c>
      <c r="BN17" s="34" t="str">
        <f t="shared" si="7"/>
        <v>0</v>
      </c>
    </row>
    <row r="18">
      <c r="A18" s="51">
        <v>7.0</v>
      </c>
      <c r="B18" s="47" t="s">
        <v>103</v>
      </c>
      <c r="C18" s="52" t="s">
        <v>104</v>
      </c>
      <c r="D18" s="53" t="s">
        <v>105</v>
      </c>
      <c r="E18" s="32">
        <v>3130.0</v>
      </c>
      <c r="F18" s="38" t="s">
        <v>106</v>
      </c>
      <c r="G18" s="32" t="s">
        <v>107</v>
      </c>
      <c r="H18" s="50" t="s">
        <v>108</v>
      </c>
      <c r="I18" s="38" t="s">
        <v>109</v>
      </c>
      <c r="J18" s="32">
        <v>1615.0</v>
      </c>
      <c r="K18" s="32">
        <v>565.0</v>
      </c>
      <c r="L18" s="32">
        <v>565.0</v>
      </c>
      <c r="M18" s="32">
        <v>35.0</v>
      </c>
      <c r="N18" s="32"/>
      <c r="O18" s="32"/>
      <c r="P18" s="33" t="str">
        <f t="shared" si="8"/>
        <v>2</v>
      </c>
      <c r="Q18" s="33" t="str">
        <f t="shared" si="2"/>
        <v>1</v>
      </c>
      <c r="R18" s="33" t="str">
        <f t="shared" si="3"/>
        <v>1</v>
      </c>
      <c r="S18" s="33" t="str">
        <f t="shared" si="4"/>
        <v>0</v>
      </c>
      <c r="T18" s="29">
        <v>1.0</v>
      </c>
      <c r="U18" s="29">
        <v>0.0</v>
      </c>
      <c r="V18" s="29">
        <v>0.0</v>
      </c>
      <c r="W18" s="29">
        <v>0.0</v>
      </c>
      <c r="X18" s="29">
        <v>0.0</v>
      </c>
      <c r="Y18" s="29">
        <v>0.0</v>
      </c>
      <c r="Z18" s="29" t="s">
        <v>67</v>
      </c>
      <c r="AA18" s="29" t="s">
        <v>67</v>
      </c>
      <c r="AB18" s="29" t="s">
        <v>67</v>
      </c>
      <c r="AC18" s="29" t="s">
        <v>67</v>
      </c>
      <c r="AD18" s="34" t="str">
        <f t="shared" si="5"/>
        <v>1</v>
      </c>
      <c r="AE18" s="29">
        <v>1.0</v>
      </c>
      <c r="AF18" s="29">
        <v>0.0</v>
      </c>
      <c r="AG18" s="29">
        <v>0.0</v>
      </c>
      <c r="AH18" s="29">
        <v>0.0</v>
      </c>
      <c r="AI18" s="29">
        <v>0.0</v>
      </c>
      <c r="AJ18" s="34" t="str">
        <f t="shared" si="6"/>
        <v>1</v>
      </c>
      <c r="AK18" s="29">
        <v>0.0</v>
      </c>
      <c r="AL18" s="29">
        <v>0.0</v>
      </c>
      <c r="AM18" s="29">
        <v>0.0</v>
      </c>
      <c r="AN18" s="29">
        <v>0.0</v>
      </c>
      <c r="AO18" s="29">
        <v>0.0</v>
      </c>
      <c r="AP18" s="29" t="s">
        <v>67</v>
      </c>
      <c r="AQ18" s="29" t="s">
        <v>67</v>
      </c>
      <c r="AR18" s="29" t="s">
        <v>67</v>
      </c>
      <c r="AS18" s="29">
        <v>0.0</v>
      </c>
      <c r="AT18" s="29" t="s">
        <v>67</v>
      </c>
      <c r="AU18" s="29" t="s">
        <v>67</v>
      </c>
      <c r="AV18" s="29" t="s">
        <v>67</v>
      </c>
      <c r="AW18" s="29" t="s">
        <v>67</v>
      </c>
      <c r="AX18" s="29" t="s">
        <v>67</v>
      </c>
      <c r="AY18" s="29" t="s">
        <v>67</v>
      </c>
      <c r="AZ18" s="29" t="s">
        <v>67</v>
      </c>
      <c r="BA18" s="29" t="s">
        <v>67</v>
      </c>
      <c r="BB18" s="29" t="s">
        <v>67</v>
      </c>
      <c r="BC18" s="29" t="s">
        <v>67</v>
      </c>
      <c r="BD18" s="29" t="s">
        <v>67</v>
      </c>
      <c r="BE18" s="29" t="s">
        <v>67</v>
      </c>
      <c r="BF18" s="29">
        <v>0.0</v>
      </c>
      <c r="BG18" s="29" t="s">
        <v>67</v>
      </c>
      <c r="BH18" s="29" t="s">
        <v>67</v>
      </c>
      <c r="BI18" s="29" t="s">
        <v>67</v>
      </c>
      <c r="BJ18" s="29" t="s">
        <v>67</v>
      </c>
      <c r="BK18" s="29" t="s">
        <v>67</v>
      </c>
      <c r="BL18" s="29" t="s">
        <v>67</v>
      </c>
      <c r="BM18" s="29" t="s">
        <v>67</v>
      </c>
      <c r="BN18" s="34" t="str">
        <f t="shared" si="7"/>
        <v>0</v>
      </c>
    </row>
    <row r="19">
      <c r="A19" s="29">
        <v>8.0</v>
      </c>
      <c r="B19" s="25" t="s">
        <v>110</v>
      </c>
      <c r="C19" s="54" t="s">
        <v>111</v>
      </c>
      <c r="D19" s="55" t="s">
        <v>112</v>
      </c>
      <c r="E19" s="29">
        <v>3130.0</v>
      </c>
      <c r="F19" s="29" t="s">
        <v>113</v>
      </c>
      <c r="G19" s="29" t="s">
        <v>113</v>
      </c>
      <c r="H19" s="29" t="s">
        <v>114</v>
      </c>
      <c r="I19" s="29" t="s">
        <v>78</v>
      </c>
      <c r="J19" s="29">
        <v>949.0</v>
      </c>
      <c r="K19" s="29">
        <v>154.0</v>
      </c>
      <c r="L19" s="42">
        <v>119.0</v>
      </c>
      <c r="M19" s="42">
        <v>29.0</v>
      </c>
      <c r="N19" s="42">
        <v>7.0</v>
      </c>
      <c r="O19" s="42"/>
      <c r="P19" s="33" t="str">
        <f t="shared" si="8"/>
        <v>4</v>
      </c>
      <c r="Q19" s="33" t="str">
        <f t="shared" si="2"/>
        <v>2</v>
      </c>
      <c r="R19" s="33" t="str">
        <f t="shared" si="3"/>
        <v>0</v>
      </c>
      <c r="S19" s="33" t="str">
        <f t="shared" si="4"/>
        <v>2</v>
      </c>
      <c r="T19" s="29">
        <v>1.0</v>
      </c>
      <c r="U19" s="29">
        <v>0.0</v>
      </c>
      <c r="V19" s="29">
        <v>0.0</v>
      </c>
      <c r="W19" s="29">
        <v>1.0</v>
      </c>
      <c r="X19" s="29">
        <v>0.0</v>
      </c>
      <c r="Y19" s="29">
        <v>0.0</v>
      </c>
      <c r="Z19" s="29">
        <v>0.0</v>
      </c>
      <c r="AA19" s="29" t="s">
        <v>67</v>
      </c>
      <c r="AB19" s="29" t="s">
        <v>67</v>
      </c>
      <c r="AC19" s="29" t="s">
        <v>67</v>
      </c>
      <c r="AD19" s="34" t="str">
        <f t="shared" si="5"/>
        <v>2</v>
      </c>
      <c r="AE19" s="29">
        <v>0.0</v>
      </c>
      <c r="AF19" s="29">
        <v>0.0</v>
      </c>
      <c r="AG19" s="29">
        <v>0.0</v>
      </c>
      <c r="AH19" s="29">
        <v>0.0</v>
      </c>
      <c r="AI19" s="29">
        <v>0.0</v>
      </c>
      <c r="AJ19" s="34" t="str">
        <f t="shared" si="6"/>
        <v>0</v>
      </c>
      <c r="AK19" s="29">
        <v>0.0</v>
      </c>
      <c r="AL19" s="29">
        <v>0.0</v>
      </c>
      <c r="AM19" s="29">
        <v>0.0</v>
      </c>
      <c r="AN19" s="29">
        <v>0.0</v>
      </c>
      <c r="AO19" s="29">
        <v>0.0</v>
      </c>
      <c r="AP19" s="29" t="s">
        <v>67</v>
      </c>
      <c r="AQ19" s="29" t="s">
        <v>67</v>
      </c>
      <c r="AR19" s="29" t="s">
        <v>67</v>
      </c>
      <c r="AS19" s="29" t="s">
        <v>67</v>
      </c>
      <c r="AT19" s="29" t="s">
        <v>67</v>
      </c>
      <c r="AU19" s="29" t="s">
        <v>67</v>
      </c>
      <c r="AV19" s="29" t="s">
        <v>67</v>
      </c>
      <c r="AW19" s="29" t="s">
        <v>67</v>
      </c>
      <c r="AX19" s="29" t="s">
        <v>67</v>
      </c>
      <c r="AY19" s="29" t="s">
        <v>67</v>
      </c>
      <c r="AZ19" s="29" t="s">
        <v>67</v>
      </c>
      <c r="BA19" s="29" t="s">
        <v>67</v>
      </c>
      <c r="BB19" s="29" t="s">
        <v>67</v>
      </c>
      <c r="BC19" s="29" t="s">
        <v>67</v>
      </c>
      <c r="BD19" s="29" t="s">
        <v>67</v>
      </c>
      <c r="BE19" s="29" t="s">
        <v>67</v>
      </c>
      <c r="BF19" s="29">
        <v>2.0</v>
      </c>
      <c r="BG19" s="29">
        <v>0.0</v>
      </c>
      <c r="BH19" s="29" t="s">
        <v>67</v>
      </c>
      <c r="BI19" s="29" t="s">
        <v>67</v>
      </c>
      <c r="BJ19" s="29" t="s">
        <v>67</v>
      </c>
      <c r="BK19" s="29" t="s">
        <v>67</v>
      </c>
      <c r="BL19" s="29" t="s">
        <v>67</v>
      </c>
      <c r="BM19" s="29" t="s">
        <v>67</v>
      </c>
      <c r="BN19" s="34" t="str">
        <f t="shared" si="7"/>
        <v>2</v>
      </c>
    </row>
    <row r="20">
      <c r="A20" s="29">
        <v>9.0</v>
      </c>
      <c r="B20" s="25" t="s">
        <v>115</v>
      </c>
      <c r="C20" s="54" t="s">
        <v>116</v>
      </c>
      <c r="D20" s="55" t="s">
        <v>117</v>
      </c>
      <c r="E20" s="29">
        <v>3130.0</v>
      </c>
      <c r="F20" s="29" t="s">
        <v>118</v>
      </c>
      <c r="G20" s="29">
        <v>5.5</v>
      </c>
      <c r="H20" s="29" t="s">
        <v>119</v>
      </c>
      <c r="I20" s="29" t="s">
        <v>78</v>
      </c>
      <c r="J20" s="29">
        <v>32.0</v>
      </c>
      <c r="K20" s="29">
        <v>23.0</v>
      </c>
      <c r="L20" s="42">
        <v>4.0</v>
      </c>
      <c r="M20" s="42">
        <v>1.0</v>
      </c>
      <c r="N20" s="42"/>
      <c r="O20" s="42"/>
      <c r="P20" s="33" t="s">
        <v>88</v>
      </c>
      <c r="Q20" s="33" t="str">
        <f t="shared" si="2"/>
        <v>0</v>
      </c>
      <c r="R20" s="33" t="str">
        <f t="shared" si="3"/>
        <v>0</v>
      </c>
      <c r="S20" s="33" t="str">
        <f t="shared" si="4"/>
        <v>0</v>
      </c>
      <c r="T20" s="29" t="s">
        <v>67</v>
      </c>
      <c r="U20" s="29" t="s">
        <v>67</v>
      </c>
      <c r="V20" s="29" t="s">
        <v>67</v>
      </c>
      <c r="W20" s="29" t="s">
        <v>67</v>
      </c>
      <c r="X20" s="29" t="s">
        <v>67</v>
      </c>
      <c r="Y20" s="29" t="s">
        <v>67</v>
      </c>
      <c r="Z20" s="29">
        <v>0.0</v>
      </c>
      <c r="AA20" s="29">
        <v>0.0</v>
      </c>
      <c r="AB20" s="29">
        <v>0.0</v>
      </c>
      <c r="AC20" s="29">
        <v>0.0</v>
      </c>
      <c r="AD20" s="34" t="str">
        <f t="shared" si="5"/>
        <v>0</v>
      </c>
      <c r="AE20" s="29" t="s">
        <v>67</v>
      </c>
      <c r="AF20" s="29" t="s">
        <v>67</v>
      </c>
      <c r="AG20" s="29" t="s">
        <v>67</v>
      </c>
      <c r="AH20" s="29" t="s">
        <v>67</v>
      </c>
      <c r="AI20" s="29" t="s">
        <v>67</v>
      </c>
      <c r="AJ20" s="34" t="str">
        <f t="shared" si="6"/>
        <v>0</v>
      </c>
      <c r="AK20" s="29" t="s">
        <v>67</v>
      </c>
      <c r="AL20" s="29" t="s">
        <v>67</v>
      </c>
      <c r="AM20" s="29" t="s">
        <v>67</v>
      </c>
      <c r="AN20" s="29" t="s">
        <v>67</v>
      </c>
      <c r="AO20" s="29" t="s">
        <v>67</v>
      </c>
      <c r="AP20" s="29">
        <v>0.0</v>
      </c>
      <c r="AQ20" s="29">
        <v>0.0</v>
      </c>
      <c r="AR20" s="29">
        <v>0.0</v>
      </c>
      <c r="AS20" s="29" t="s">
        <v>67</v>
      </c>
      <c r="AT20" s="29" t="s">
        <v>67</v>
      </c>
      <c r="AU20" s="29" t="s">
        <v>67</v>
      </c>
      <c r="AV20" s="29" t="s">
        <v>67</v>
      </c>
      <c r="AW20" s="29" t="s">
        <v>67</v>
      </c>
      <c r="AX20" s="29" t="s">
        <v>67</v>
      </c>
      <c r="AY20" s="29" t="s">
        <v>67</v>
      </c>
      <c r="AZ20" s="29" t="s">
        <v>67</v>
      </c>
      <c r="BA20" s="29" t="s">
        <v>67</v>
      </c>
      <c r="BB20" s="29" t="s">
        <v>67</v>
      </c>
      <c r="BC20" s="29" t="s">
        <v>67</v>
      </c>
      <c r="BD20" s="29" t="s">
        <v>67</v>
      </c>
      <c r="BE20" s="29" t="s">
        <v>67</v>
      </c>
      <c r="BF20" s="29" t="s">
        <v>67</v>
      </c>
      <c r="BG20" s="29" t="s">
        <v>67</v>
      </c>
      <c r="BH20" s="29" t="s">
        <v>67</v>
      </c>
      <c r="BI20" s="29" t="s">
        <v>67</v>
      </c>
      <c r="BJ20" s="29" t="s">
        <v>67</v>
      </c>
      <c r="BK20" s="29" t="s">
        <v>67</v>
      </c>
      <c r="BL20" s="29" t="s">
        <v>67</v>
      </c>
      <c r="BM20" s="29" t="s">
        <v>67</v>
      </c>
      <c r="BN20" s="34" t="str">
        <f t="shared" si="7"/>
        <v>0</v>
      </c>
    </row>
    <row r="21" ht="15.75" customHeight="1">
      <c r="A21" s="31">
        <v>10.0</v>
      </c>
      <c r="B21" s="25" t="s">
        <v>120</v>
      </c>
      <c r="C21" s="26" t="s">
        <v>121</v>
      </c>
      <c r="D21" s="27" t="s">
        <v>122</v>
      </c>
      <c r="E21" s="28">
        <v>3130.0</v>
      </c>
      <c r="F21" s="56" t="s">
        <v>123</v>
      </c>
      <c r="G21" s="57">
        <v>5.0</v>
      </c>
      <c r="H21" s="28" t="s">
        <v>86</v>
      </c>
      <c r="I21" s="28" t="s">
        <v>78</v>
      </c>
      <c r="J21" s="28">
        <v>985.0</v>
      </c>
      <c r="K21" s="28">
        <v>530.0</v>
      </c>
      <c r="L21" s="31">
        <v>460.0</v>
      </c>
      <c r="M21" s="31">
        <v>57.0</v>
      </c>
      <c r="N21" s="31">
        <v>12.0</v>
      </c>
      <c r="O21" s="31"/>
      <c r="P21" s="33" t="str">
        <f t="shared" ref="P21:P23" si="9">sum(Q21:S21)</f>
        <v>0</v>
      </c>
      <c r="Q21" s="33" t="str">
        <f t="shared" si="2"/>
        <v>0</v>
      </c>
      <c r="R21" s="33" t="str">
        <f t="shared" si="3"/>
        <v>0</v>
      </c>
      <c r="S21" s="33" t="str">
        <f t="shared" si="4"/>
        <v>0</v>
      </c>
      <c r="T21" s="29">
        <v>0.0</v>
      </c>
      <c r="U21" s="29">
        <v>0.0</v>
      </c>
      <c r="V21" s="29">
        <v>0.0</v>
      </c>
      <c r="W21" s="29">
        <v>0.0</v>
      </c>
      <c r="X21" s="29">
        <v>0.0</v>
      </c>
      <c r="Y21" s="29">
        <v>0.0</v>
      </c>
      <c r="Z21" s="29" t="s">
        <v>67</v>
      </c>
      <c r="AA21" s="29" t="s">
        <v>67</v>
      </c>
      <c r="AB21" s="29" t="s">
        <v>67</v>
      </c>
      <c r="AC21" s="29" t="s">
        <v>67</v>
      </c>
      <c r="AD21" s="34" t="str">
        <f t="shared" si="5"/>
        <v>0</v>
      </c>
      <c r="AE21" s="29">
        <v>0.0</v>
      </c>
      <c r="AF21" s="29">
        <v>0.0</v>
      </c>
      <c r="AG21" s="29">
        <v>0.0</v>
      </c>
      <c r="AH21" s="29">
        <v>0.0</v>
      </c>
      <c r="AI21" s="29">
        <v>0.0</v>
      </c>
      <c r="AJ21" s="34" t="str">
        <f t="shared" si="6"/>
        <v>0</v>
      </c>
      <c r="AK21" s="29">
        <v>0.0</v>
      </c>
      <c r="AL21" s="29">
        <v>0.0</v>
      </c>
      <c r="AM21" s="29">
        <v>0.0</v>
      </c>
      <c r="AN21" s="29">
        <v>0.0</v>
      </c>
      <c r="AO21" s="29">
        <v>0.0</v>
      </c>
      <c r="AP21" s="29" t="s">
        <v>67</v>
      </c>
      <c r="AQ21" s="29" t="s">
        <v>67</v>
      </c>
      <c r="AR21" s="29" t="s">
        <v>67</v>
      </c>
      <c r="AS21" s="29" t="s">
        <v>67</v>
      </c>
      <c r="AT21" s="29" t="s">
        <v>67</v>
      </c>
      <c r="AU21" s="29" t="s">
        <v>67</v>
      </c>
      <c r="AV21" s="29" t="s">
        <v>67</v>
      </c>
      <c r="AW21" s="29" t="s">
        <v>67</v>
      </c>
      <c r="AX21" s="29" t="s">
        <v>67</v>
      </c>
      <c r="AY21" s="29" t="s">
        <v>67</v>
      </c>
      <c r="AZ21" s="29" t="s">
        <v>67</v>
      </c>
      <c r="BA21" s="29" t="s">
        <v>67</v>
      </c>
      <c r="BB21" s="29" t="s">
        <v>67</v>
      </c>
      <c r="BC21" s="29" t="s">
        <v>67</v>
      </c>
      <c r="BD21" s="29" t="s">
        <v>67</v>
      </c>
      <c r="BE21" s="29" t="s">
        <v>67</v>
      </c>
      <c r="BF21" s="29">
        <v>0.0</v>
      </c>
      <c r="BG21" s="29" t="s">
        <v>67</v>
      </c>
      <c r="BH21" s="29" t="s">
        <v>67</v>
      </c>
      <c r="BI21" s="29" t="s">
        <v>67</v>
      </c>
      <c r="BJ21" s="29" t="s">
        <v>67</v>
      </c>
      <c r="BK21" s="29" t="s">
        <v>67</v>
      </c>
      <c r="BL21" s="29" t="s">
        <v>67</v>
      </c>
      <c r="BM21" s="29" t="s">
        <v>67</v>
      </c>
      <c r="BN21" s="34" t="str">
        <f t="shared" si="7"/>
        <v>0</v>
      </c>
    </row>
    <row r="22" ht="15.75" customHeight="1">
      <c r="A22" s="23"/>
      <c r="B22" s="11"/>
      <c r="C22" s="23"/>
      <c r="D22" s="23"/>
      <c r="E22" s="23"/>
      <c r="F22" s="56" t="s">
        <v>124</v>
      </c>
      <c r="G22" s="57">
        <v>6.0</v>
      </c>
      <c r="H22" s="23"/>
      <c r="I22" s="23"/>
      <c r="J22" s="23"/>
      <c r="K22" s="23"/>
      <c r="L22" s="23"/>
      <c r="M22" s="23"/>
      <c r="N22" s="23"/>
      <c r="O22" s="23"/>
      <c r="P22" s="33" t="str">
        <f t="shared" si="9"/>
        <v>0</v>
      </c>
      <c r="Q22" s="33" t="str">
        <f t="shared" si="2"/>
        <v>0</v>
      </c>
      <c r="R22" s="33" t="str">
        <f t="shared" si="3"/>
        <v>0</v>
      </c>
      <c r="S22" s="33" t="str">
        <f t="shared" si="4"/>
        <v>0</v>
      </c>
      <c r="T22" s="29">
        <v>0.0</v>
      </c>
      <c r="U22" s="29">
        <v>0.0</v>
      </c>
      <c r="V22" s="29">
        <v>0.0</v>
      </c>
      <c r="W22" s="29">
        <v>0.0</v>
      </c>
      <c r="X22" s="29">
        <v>0.0</v>
      </c>
      <c r="Y22" s="29">
        <v>0.0</v>
      </c>
      <c r="Z22" s="29" t="s">
        <v>67</v>
      </c>
      <c r="AA22" s="29" t="s">
        <v>67</v>
      </c>
      <c r="AB22" s="29" t="s">
        <v>67</v>
      </c>
      <c r="AC22" s="29" t="s">
        <v>67</v>
      </c>
      <c r="AD22" s="34" t="str">
        <f t="shared" si="5"/>
        <v>0</v>
      </c>
      <c r="AE22" s="29">
        <v>0.0</v>
      </c>
      <c r="AF22" s="29">
        <v>0.0</v>
      </c>
      <c r="AG22" s="29">
        <v>0.0</v>
      </c>
      <c r="AH22" s="29">
        <v>0.0</v>
      </c>
      <c r="AI22" s="29">
        <v>0.0</v>
      </c>
      <c r="AJ22" s="34" t="str">
        <f t="shared" si="6"/>
        <v>0</v>
      </c>
      <c r="AK22" s="29">
        <v>0.0</v>
      </c>
      <c r="AL22" s="29">
        <v>0.0</v>
      </c>
      <c r="AM22" s="29">
        <v>0.0</v>
      </c>
      <c r="AN22" s="29">
        <v>0.0</v>
      </c>
      <c r="AO22" s="29">
        <v>0.0</v>
      </c>
      <c r="AP22" s="29" t="s">
        <v>67</v>
      </c>
      <c r="AQ22" s="29" t="s">
        <v>67</v>
      </c>
      <c r="AR22" s="29" t="s">
        <v>67</v>
      </c>
      <c r="AS22" s="29" t="s">
        <v>67</v>
      </c>
      <c r="AT22" s="29" t="s">
        <v>67</v>
      </c>
      <c r="AU22" s="29" t="s">
        <v>67</v>
      </c>
      <c r="AV22" s="29" t="s">
        <v>67</v>
      </c>
      <c r="AW22" s="29" t="s">
        <v>67</v>
      </c>
      <c r="AX22" s="29" t="s">
        <v>67</v>
      </c>
      <c r="AY22" s="29" t="s">
        <v>67</v>
      </c>
      <c r="AZ22" s="29" t="s">
        <v>67</v>
      </c>
      <c r="BA22" s="29" t="s">
        <v>67</v>
      </c>
      <c r="BB22" s="29" t="s">
        <v>67</v>
      </c>
      <c r="BC22" s="29" t="s">
        <v>67</v>
      </c>
      <c r="BD22" s="29" t="s">
        <v>67</v>
      </c>
      <c r="BE22" s="29" t="s">
        <v>67</v>
      </c>
      <c r="BF22" s="29">
        <v>0.0</v>
      </c>
      <c r="BG22" s="29" t="s">
        <v>67</v>
      </c>
      <c r="BH22" s="29" t="s">
        <v>67</v>
      </c>
      <c r="BI22" s="29" t="s">
        <v>67</v>
      </c>
      <c r="BJ22" s="29" t="s">
        <v>67</v>
      </c>
      <c r="BK22" s="29" t="s">
        <v>67</v>
      </c>
      <c r="BL22" s="29" t="s">
        <v>67</v>
      </c>
      <c r="BM22" s="29" t="s">
        <v>67</v>
      </c>
      <c r="BN22" s="34" t="str">
        <f t="shared" si="7"/>
        <v>0</v>
      </c>
    </row>
    <row r="23" ht="15.75" customHeight="1">
      <c r="A23" s="38">
        <v>11.0</v>
      </c>
      <c r="B23" s="25" t="s">
        <v>125</v>
      </c>
      <c r="C23" s="58" t="s">
        <v>126</v>
      </c>
      <c r="D23" s="53" t="s">
        <v>127</v>
      </c>
      <c r="E23" s="38">
        <v>3130.0</v>
      </c>
      <c r="F23" s="38" t="s">
        <v>128</v>
      </c>
      <c r="G23" s="38">
        <v>5.0</v>
      </c>
      <c r="H23" s="38" t="s">
        <v>129</v>
      </c>
      <c r="I23" s="29" t="s">
        <v>109</v>
      </c>
      <c r="J23" s="38">
        <v>1087.0</v>
      </c>
      <c r="K23" s="38">
        <v>339.0</v>
      </c>
      <c r="L23" s="38">
        <v>27.0</v>
      </c>
      <c r="M23" s="38">
        <v>11.0</v>
      </c>
      <c r="N23" s="38"/>
      <c r="O23" s="38"/>
      <c r="P23" s="33" t="str">
        <f t="shared" si="9"/>
        <v>3</v>
      </c>
      <c r="Q23" s="33" t="str">
        <f t="shared" si="2"/>
        <v>1</v>
      </c>
      <c r="R23" s="33" t="str">
        <f t="shared" si="3"/>
        <v>2</v>
      </c>
      <c r="S23" s="33" t="str">
        <f t="shared" si="4"/>
        <v>0</v>
      </c>
      <c r="T23" s="38">
        <v>1.0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 t="s">
        <v>67</v>
      </c>
      <c r="AB23" s="38" t="s">
        <v>67</v>
      </c>
      <c r="AC23" s="38" t="s">
        <v>67</v>
      </c>
      <c r="AD23" s="34" t="str">
        <f t="shared" si="5"/>
        <v>1</v>
      </c>
      <c r="AE23" s="38">
        <v>2.0</v>
      </c>
      <c r="AF23" s="38">
        <v>0.0</v>
      </c>
      <c r="AG23" s="38">
        <v>0.0</v>
      </c>
      <c r="AH23" s="38">
        <v>0.0</v>
      </c>
      <c r="AI23" s="38">
        <v>0.0</v>
      </c>
      <c r="AJ23" s="34" t="str">
        <f t="shared" si="6"/>
        <v>2</v>
      </c>
      <c r="AK23" s="38">
        <v>0.0</v>
      </c>
      <c r="AL23" s="38">
        <v>0.0</v>
      </c>
      <c r="AM23" s="38">
        <v>0.0</v>
      </c>
      <c r="AN23" s="38">
        <v>0.0</v>
      </c>
      <c r="AO23" s="38">
        <v>0.0</v>
      </c>
      <c r="AP23" s="29" t="s">
        <v>67</v>
      </c>
      <c r="AQ23" s="38" t="s">
        <v>67</v>
      </c>
      <c r="AR23" s="38" t="s">
        <v>67</v>
      </c>
      <c r="AS23" s="38" t="s">
        <v>67</v>
      </c>
      <c r="AT23" s="38" t="s">
        <v>67</v>
      </c>
      <c r="AU23" s="38" t="s">
        <v>67</v>
      </c>
      <c r="AV23" s="38" t="s">
        <v>67</v>
      </c>
      <c r="AW23" s="38" t="s">
        <v>67</v>
      </c>
      <c r="AX23" s="38" t="s">
        <v>67</v>
      </c>
      <c r="AY23" s="38" t="s">
        <v>67</v>
      </c>
      <c r="AZ23" s="38" t="s">
        <v>67</v>
      </c>
      <c r="BA23" s="38" t="s">
        <v>67</v>
      </c>
      <c r="BB23" s="38" t="s">
        <v>67</v>
      </c>
      <c r="BC23" s="38" t="s">
        <v>67</v>
      </c>
      <c r="BD23" s="38" t="s">
        <v>67</v>
      </c>
      <c r="BE23" s="38" t="s">
        <v>67</v>
      </c>
      <c r="BF23" s="38" t="s">
        <v>67</v>
      </c>
      <c r="BG23" s="38" t="s">
        <v>67</v>
      </c>
      <c r="BH23" s="38" t="s">
        <v>67</v>
      </c>
      <c r="BI23" s="38" t="s">
        <v>67</v>
      </c>
      <c r="BJ23" s="38" t="s">
        <v>67</v>
      </c>
      <c r="BK23" s="38" t="s">
        <v>67</v>
      </c>
      <c r="BL23" s="38" t="s">
        <v>67</v>
      </c>
      <c r="BM23" s="38" t="s">
        <v>67</v>
      </c>
      <c r="BN23" s="34" t="str">
        <f t="shared" si="7"/>
        <v>0</v>
      </c>
    </row>
    <row r="24" ht="15.75" customHeight="1">
      <c r="A24" s="24">
        <v>12.0</v>
      </c>
      <c r="B24" s="25" t="s">
        <v>130</v>
      </c>
      <c r="C24" s="26" t="s">
        <v>131</v>
      </c>
      <c r="D24" s="27" t="s">
        <v>132</v>
      </c>
      <c r="E24" s="28">
        <v>3130.0</v>
      </c>
      <c r="F24" s="29" t="s">
        <v>133</v>
      </c>
      <c r="G24" s="28">
        <v>10.22</v>
      </c>
      <c r="H24" s="30" t="s">
        <v>134</v>
      </c>
      <c r="I24" s="29" t="s">
        <v>135</v>
      </c>
      <c r="J24" s="28">
        <v>1405.0</v>
      </c>
      <c r="K24" s="28">
        <v>201.0</v>
      </c>
      <c r="L24" s="31">
        <v>201.0</v>
      </c>
      <c r="M24" s="31">
        <v>103.0</v>
      </c>
      <c r="N24" s="31">
        <v>10.0</v>
      </c>
      <c r="O24" s="31">
        <v>6.0</v>
      </c>
      <c r="P24" s="33" t="s">
        <v>88</v>
      </c>
      <c r="Q24" s="33" t="str">
        <f t="shared" si="2"/>
        <v>0</v>
      </c>
      <c r="R24" s="33" t="str">
        <f t="shared" si="3"/>
        <v>0</v>
      </c>
      <c r="S24" s="33" t="str">
        <f t="shared" si="4"/>
        <v>0</v>
      </c>
      <c r="T24" s="29">
        <v>0.0</v>
      </c>
      <c r="U24" s="29">
        <v>0.0</v>
      </c>
      <c r="V24" s="29">
        <v>0.0</v>
      </c>
      <c r="W24" s="29">
        <v>0.0</v>
      </c>
      <c r="X24" s="29">
        <v>0.0</v>
      </c>
      <c r="Y24" s="29">
        <v>0.0</v>
      </c>
      <c r="Z24" s="29">
        <v>0.0</v>
      </c>
      <c r="AA24" s="29" t="s">
        <v>67</v>
      </c>
      <c r="AB24" s="29" t="s">
        <v>67</v>
      </c>
      <c r="AC24" s="29" t="s">
        <v>67</v>
      </c>
      <c r="AD24" s="34" t="str">
        <f t="shared" si="5"/>
        <v>0</v>
      </c>
      <c r="AE24" s="29">
        <v>0.0</v>
      </c>
      <c r="AF24" s="29">
        <v>0.0</v>
      </c>
      <c r="AG24" s="29">
        <v>0.0</v>
      </c>
      <c r="AH24" s="29">
        <v>0.0</v>
      </c>
      <c r="AI24" s="29">
        <v>0.0</v>
      </c>
      <c r="AJ24" s="34" t="str">
        <f t="shared" si="6"/>
        <v>0</v>
      </c>
      <c r="AK24" s="29">
        <v>0.0</v>
      </c>
      <c r="AL24" s="29">
        <v>0.0</v>
      </c>
      <c r="AM24" s="29">
        <v>0.0</v>
      </c>
      <c r="AN24" s="29">
        <v>0.0</v>
      </c>
      <c r="AO24" s="29">
        <v>0.0</v>
      </c>
      <c r="AP24" s="29" t="s">
        <v>67</v>
      </c>
      <c r="AQ24" s="29" t="s">
        <v>67</v>
      </c>
      <c r="AR24" s="29" t="s">
        <v>67</v>
      </c>
      <c r="AS24" s="29" t="s">
        <v>67</v>
      </c>
      <c r="AT24" s="29" t="s">
        <v>67</v>
      </c>
      <c r="AU24" s="29" t="s">
        <v>67</v>
      </c>
      <c r="AV24" s="29" t="s">
        <v>67</v>
      </c>
      <c r="AW24" s="29" t="s">
        <v>67</v>
      </c>
      <c r="AX24" s="29" t="s">
        <v>67</v>
      </c>
      <c r="AY24" s="29" t="s">
        <v>67</v>
      </c>
      <c r="AZ24" s="29" t="s">
        <v>67</v>
      </c>
      <c r="BA24" s="29" t="s">
        <v>67</v>
      </c>
      <c r="BB24" s="29" t="s">
        <v>67</v>
      </c>
      <c r="BC24" s="29" t="s">
        <v>67</v>
      </c>
      <c r="BD24" s="29" t="s">
        <v>67</v>
      </c>
      <c r="BE24" s="29" t="s">
        <v>67</v>
      </c>
      <c r="BF24" s="29" t="s">
        <v>67</v>
      </c>
      <c r="BG24" s="29" t="s">
        <v>67</v>
      </c>
      <c r="BH24" s="29" t="s">
        <v>67</v>
      </c>
      <c r="BI24" s="29" t="s">
        <v>67</v>
      </c>
      <c r="BJ24" s="29" t="s">
        <v>67</v>
      </c>
      <c r="BK24" s="29" t="s">
        <v>67</v>
      </c>
      <c r="BL24" s="29" t="s">
        <v>67</v>
      </c>
      <c r="BM24" s="29" t="s">
        <v>67</v>
      </c>
      <c r="BN24" s="34" t="str">
        <f t="shared" si="7"/>
        <v>0</v>
      </c>
    </row>
    <row r="25" ht="15.75" customHeight="1">
      <c r="A25" s="29">
        <v>13.0</v>
      </c>
      <c r="B25" s="25" t="s">
        <v>136</v>
      </c>
      <c r="C25" s="54" t="s">
        <v>137</v>
      </c>
      <c r="D25" s="27" t="s">
        <v>132</v>
      </c>
      <c r="E25" s="29">
        <v>3130.0</v>
      </c>
      <c r="F25" s="29" t="s">
        <v>138</v>
      </c>
      <c r="G25" s="29">
        <v>12.38</v>
      </c>
      <c r="H25" s="29" t="s">
        <v>139</v>
      </c>
      <c r="I25" s="29" t="s">
        <v>65</v>
      </c>
      <c r="J25" s="29">
        <v>1391.0</v>
      </c>
      <c r="K25" s="29">
        <v>238.0</v>
      </c>
      <c r="L25" s="42">
        <v>161.0</v>
      </c>
      <c r="M25" s="42">
        <v>8.0</v>
      </c>
      <c r="N25" s="42">
        <v>1.0</v>
      </c>
      <c r="O25" s="42"/>
      <c r="P25" s="33" t="str">
        <f t="shared" ref="P25:P28" si="10">sum(Q25:S25)</f>
        <v>0</v>
      </c>
      <c r="Q25" s="33" t="str">
        <f t="shared" si="2"/>
        <v>0</v>
      </c>
      <c r="R25" s="33" t="str">
        <f t="shared" si="3"/>
        <v>0</v>
      </c>
      <c r="S25" s="33" t="str">
        <f t="shared" si="4"/>
        <v>0</v>
      </c>
      <c r="T25" s="29">
        <v>0.0</v>
      </c>
      <c r="U25" s="29">
        <v>0.0</v>
      </c>
      <c r="V25" s="29">
        <v>0.0</v>
      </c>
      <c r="W25" s="29">
        <v>0.0</v>
      </c>
      <c r="X25" s="29">
        <v>0.0</v>
      </c>
      <c r="Y25" s="29">
        <v>0.0</v>
      </c>
      <c r="Z25" s="29">
        <v>0.0</v>
      </c>
      <c r="AA25" s="29" t="s">
        <v>67</v>
      </c>
      <c r="AB25" s="29" t="s">
        <v>67</v>
      </c>
      <c r="AC25" s="29" t="s">
        <v>67</v>
      </c>
      <c r="AD25" s="34" t="str">
        <f t="shared" si="5"/>
        <v>0</v>
      </c>
      <c r="AE25" s="29">
        <v>0.0</v>
      </c>
      <c r="AF25" s="29">
        <v>0.0</v>
      </c>
      <c r="AG25" s="29">
        <v>0.0</v>
      </c>
      <c r="AH25" s="29">
        <v>0.0</v>
      </c>
      <c r="AI25" s="29">
        <v>0.0</v>
      </c>
      <c r="AJ25" s="34" t="str">
        <f t="shared" si="6"/>
        <v>0</v>
      </c>
      <c r="AK25" s="29">
        <v>0.0</v>
      </c>
      <c r="AL25" s="29">
        <v>0.0</v>
      </c>
      <c r="AM25" s="29">
        <v>0.0</v>
      </c>
      <c r="AN25" s="29">
        <v>0.0</v>
      </c>
      <c r="AO25" s="29">
        <v>0.0</v>
      </c>
      <c r="AP25" s="29" t="s">
        <v>67</v>
      </c>
      <c r="AQ25" s="29" t="s">
        <v>67</v>
      </c>
      <c r="AR25" s="29" t="s">
        <v>67</v>
      </c>
      <c r="AS25" s="29" t="s">
        <v>67</v>
      </c>
      <c r="AT25" s="29" t="s">
        <v>67</v>
      </c>
      <c r="AU25" s="29" t="s">
        <v>67</v>
      </c>
      <c r="AV25" s="29" t="s">
        <v>67</v>
      </c>
      <c r="AW25" s="29" t="s">
        <v>67</v>
      </c>
      <c r="AX25" s="29" t="s">
        <v>67</v>
      </c>
      <c r="AY25" s="29" t="s">
        <v>67</v>
      </c>
      <c r="AZ25" s="29" t="s">
        <v>67</v>
      </c>
      <c r="BA25" s="29" t="s">
        <v>67</v>
      </c>
      <c r="BB25" s="29" t="s">
        <v>67</v>
      </c>
      <c r="BC25" s="29" t="s">
        <v>67</v>
      </c>
      <c r="BD25" s="29" t="s">
        <v>67</v>
      </c>
      <c r="BE25" s="29" t="s">
        <v>67</v>
      </c>
      <c r="BF25" s="29">
        <v>0.0</v>
      </c>
      <c r="BG25" s="29">
        <v>0.0</v>
      </c>
      <c r="BH25" s="29" t="s">
        <v>67</v>
      </c>
      <c r="BI25" s="29" t="s">
        <v>67</v>
      </c>
      <c r="BJ25" s="29" t="s">
        <v>67</v>
      </c>
      <c r="BK25" s="29" t="s">
        <v>67</v>
      </c>
      <c r="BL25" s="29" t="s">
        <v>67</v>
      </c>
      <c r="BM25" s="29" t="s">
        <v>67</v>
      </c>
      <c r="BN25" s="34" t="str">
        <f t="shared" si="7"/>
        <v>0</v>
      </c>
    </row>
    <row r="26" ht="15.75" customHeight="1">
      <c r="A26" s="38">
        <v>14.0</v>
      </c>
      <c r="B26" s="25" t="s">
        <v>140</v>
      </c>
      <c r="C26" s="58" t="s">
        <v>141</v>
      </c>
      <c r="D26" s="53" t="s">
        <v>142</v>
      </c>
      <c r="E26" s="38">
        <v>3130.0</v>
      </c>
      <c r="F26" s="38" t="s">
        <v>143</v>
      </c>
      <c r="G26" s="38">
        <v>5.5</v>
      </c>
      <c r="H26" s="38" t="s">
        <v>144</v>
      </c>
      <c r="I26" s="29" t="s">
        <v>78</v>
      </c>
      <c r="J26" s="38">
        <v>1012.0</v>
      </c>
      <c r="K26" s="38">
        <v>607.0</v>
      </c>
      <c r="L26" s="38">
        <v>507.0</v>
      </c>
      <c r="M26" s="38">
        <v>226.0</v>
      </c>
      <c r="N26" s="38">
        <v>64.0</v>
      </c>
      <c r="O26" s="38"/>
      <c r="P26" s="33" t="str">
        <f t="shared" si="10"/>
        <v>18</v>
      </c>
      <c r="Q26" s="33" t="str">
        <f t="shared" si="2"/>
        <v>5</v>
      </c>
      <c r="R26" s="33" t="str">
        <f t="shared" si="3"/>
        <v>6</v>
      </c>
      <c r="S26" s="33" t="str">
        <f t="shared" si="4"/>
        <v>7</v>
      </c>
      <c r="T26" s="38">
        <v>1.0</v>
      </c>
      <c r="U26" s="38">
        <v>1.0</v>
      </c>
      <c r="V26" s="38">
        <v>0.0</v>
      </c>
      <c r="W26" s="38">
        <v>0.0</v>
      </c>
      <c r="X26" s="38">
        <v>2.0</v>
      </c>
      <c r="Y26" s="38">
        <v>1.0</v>
      </c>
      <c r="Z26" s="38">
        <v>0.0</v>
      </c>
      <c r="AA26" s="38" t="s">
        <v>67</v>
      </c>
      <c r="AB26" s="38">
        <v>0.0</v>
      </c>
      <c r="AC26" s="38" t="s">
        <v>67</v>
      </c>
      <c r="AD26" s="34" t="str">
        <f t="shared" si="5"/>
        <v>5</v>
      </c>
      <c r="AE26" s="38">
        <v>4.0</v>
      </c>
      <c r="AF26" s="38">
        <v>1.0</v>
      </c>
      <c r="AG26" s="38">
        <v>0.0</v>
      </c>
      <c r="AH26" s="38">
        <v>0.0</v>
      </c>
      <c r="AI26" s="38">
        <v>1.0</v>
      </c>
      <c r="AJ26" s="34" t="str">
        <f t="shared" si="6"/>
        <v>6</v>
      </c>
      <c r="AK26" s="38">
        <v>7.0</v>
      </c>
      <c r="AL26" s="38">
        <v>0.0</v>
      </c>
      <c r="AM26" s="38">
        <v>0.0</v>
      </c>
      <c r="AN26" s="38">
        <v>0.0</v>
      </c>
      <c r="AO26" s="38">
        <v>0.0</v>
      </c>
      <c r="AP26" s="29">
        <v>0.0</v>
      </c>
      <c r="AQ26" s="38" t="s">
        <v>67</v>
      </c>
      <c r="AR26" s="38" t="s">
        <v>67</v>
      </c>
      <c r="AS26" s="38" t="s">
        <v>67</v>
      </c>
      <c r="AT26" s="38" t="s">
        <v>67</v>
      </c>
      <c r="AU26" s="38" t="s">
        <v>67</v>
      </c>
      <c r="AV26" s="38" t="s">
        <v>67</v>
      </c>
      <c r="AW26" s="38" t="s">
        <v>67</v>
      </c>
      <c r="AX26" s="38" t="s">
        <v>67</v>
      </c>
      <c r="AY26" s="38" t="s">
        <v>67</v>
      </c>
      <c r="AZ26" s="38" t="s">
        <v>67</v>
      </c>
      <c r="BA26" s="38" t="s">
        <v>67</v>
      </c>
      <c r="BB26" s="38" t="s">
        <v>67</v>
      </c>
      <c r="BC26" s="38" t="s">
        <v>67</v>
      </c>
      <c r="BD26" s="38" t="s">
        <v>67</v>
      </c>
      <c r="BE26" s="38" t="s">
        <v>67</v>
      </c>
      <c r="BF26" s="38">
        <v>0.0</v>
      </c>
      <c r="BG26" s="38">
        <v>0.0</v>
      </c>
      <c r="BH26" s="38" t="s">
        <v>67</v>
      </c>
      <c r="BI26" s="38" t="s">
        <v>67</v>
      </c>
      <c r="BJ26" s="38" t="s">
        <v>67</v>
      </c>
      <c r="BK26" s="38" t="s">
        <v>67</v>
      </c>
      <c r="BL26" s="38" t="s">
        <v>67</v>
      </c>
      <c r="BM26" s="38" t="s">
        <v>67</v>
      </c>
      <c r="BN26" s="34" t="str">
        <f t="shared" si="7"/>
        <v>7</v>
      </c>
    </row>
    <row r="27" ht="15.75" customHeight="1">
      <c r="A27" s="38">
        <v>15.0</v>
      </c>
      <c r="B27" s="25" t="s">
        <v>145</v>
      </c>
      <c r="C27" s="58" t="s">
        <v>146</v>
      </c>
      <c r="D27" s="53" t="s">
        <v>147</v>
      </c>
      <c r="E27" s="38">
        <v>3130.0</v>
      </c>
      <c r="F27" s="38" t="s">
        <v>148</v>
      </c>
      <c r="G27" s="38">
        <v>3.5</v>
      </c>
      <c r="H27" s="38" t="s">
        <v>149</v>
      </c>
      <c r="I27" s="29" t="s">
        <v>87</v>
      </c>
      <c r="J27" s="38">
        <v>20.0</v>
      </c>
      <c r="K27" s="38">
        <v>8.0</v>
      </c>
      <c r="L27" s="38">
        <v>8.0</v>
      </c>
      <c r="M27" s="38"/>
      <c r="N27" s="38"/>
      <c r="O27" s="38"/>
      <c r="P27" s="33" t="str">
        <f t="shared" si="10"/>
        <v>2</v>
      </c>
      <c r="Q27" s="33" t="str">
        <f t="shared" si="2"/>
        <v>2</v>
      </c>
      <c r="R27" s="33" t="str">
        <f t="shared" si="3"/>
        <v>0</v>
      </c>
      <c r="S27" s="33" t="str">
        <f t="shared" si="4"/>
        <v>0</v>
      </c>
      <c r="T27" s="38" t="s">
        <v>67</v>
      </c>
      <c r="U27" s="38" t="s">
        <v>67</v>
      </c>
      <c r="V27" s="38" t="s">
        <v>67</v>
      </c>
      <c r="W27" s="38" t="s">
        <v>67</v>
      </c>
      <c r="X27" s="38" t="s">
        <v>67</v>
      </c>
      <c r="Y27" s="38" t="s">
        <v>67</v>
      </c>
      <c r="Z27" s="38" t="s">
        <v>67</v>
      </c>
      <c r="AA27" s="38" t="s">
        <v>67</v>
      </c>
      <c r="AB27" s="38">
        <v>1.0</v>
      </c>
      <c r="AC27" s="38">
        <v>1.0</v>
      </c>
      <c r="AD27" s="34" t="str">
        <f t="shared" si="5"/>
        <v>2</v>
      </c>
      <c r="AE27" s="38" t="s">
        <v>67</v>
      </c>
      <c r="AF27" s="38" t="s">
        <v>67</v>
      </c>
      <c r="AG27" s="38" t="s">
        <v>67</v>
      </c>
      <c r="AH27" s="38" t="s">
        <v>67</v>
      </c>
      <c r="AI27" s="38" t="s">
        <v>67</v>
      </c>
      <c r="AJ27" s="34" t="str">
        <f t="shared" si="6"/>
        <v>0</v>
      </c>
      <c r="AK27" s="38" t="s">
        <v>67</v>
      </c>
      <c r="AL27" s="38" t="s">
        <v>67</v>
      </c>
      <c r="AM27" s="38" t="s">
        <v>67</v>
      </c>
      <c r="AN27" s="38" t="s">
        <v>67</v>
      </c>
      <c r="AO27" s="38" t="s">
        <v>67</v>
      </c>
      <c r="AP27" s="29">
        <v>0.0</v>
      </c>
      <c r="AQ27" s="38" t="s">
        <v>67</v>
      </c>
      <c r="AR27" s="38">
        <v>0.0</v>
      </c>
      <c r="AS27" s="38" t="s">
        <v>67</v>
      </c>
      <c r="AT27" s="38" t="s">
        <v>67</v>
      </c>
      <c r="AU27" s="38" t="s">
        <v>67</v>
      </c>
      <c r="AV27" s="38" t="s">
        <v>67</v>
      </c>
      <c r="AW27" s="38" t="s">
        <v>67</v>
      </c>
      <c r="AX27" s="38" t="s">
        <v>67</v>
      </c>
      <c r="AY27" s="38" t="s">
        <v>67</v>
      </c>
      <c r="AZ27" s="38" t="s">
        <v>67</v>
      </c>
      <c r="BA27" s="38" t="s">
        <v>67</v>
      </c>
      <c r="BB27" s="38" t="s">
        <v>67</v>
      </c>
      <c r="BC27" s="38" t="s">
        <v>67</v>
      </c>
      <c r="BD27" s="38" t="s">
        <v>67</v>
      </c>
      <c r="BE27" s="38" t="s">
        <v>67</v>
      </c>
      <c r="BF27" s="38" t="s">
        <v>67</v>
      </c>
      <c r="BG27" s="38" t="s">
        <v>67</v>
      </c>
      <c r="BH27" s="38" t="s">
        <v>67</v>
      </c>
      <c r="BI27" s="38" t="s">
        <v>67</v>
      </c>
      <c r="BJ27" s="38" t="s">
        <v>67</v>
      </c>
      <c r="BK27" s="38" t="s">
        <v>67</v>
      </c>
      <c r="BL27" s="38" t="s">
        <v>67</v>
      </c>
      <c r="BM27" s="38" t="s">
        <v>67</v>
      </c>
      <c r="BN27" s="34" t="str">
        <f t="shared" si="7"/>
        <v>0</v>
      </c>
    </row>
    <row r="28" ht="15.75" customHeight="1">
      <c r="A28" s="38">
        <v>16.0</v>
      </c>
      <c r="B28" s="25" t="s">
        <v>150</v>
      </c>
      <c r="C28" s="58" t="s">
        <v>151</v>
      </c>
      <c r="D28" s="53" t="s">
        <v>147</v>
      </c>
      <c r="E28" s="38">
        <v>3130.0</v>
      </c>
      <c r="F28" s="38" t="s">
        <v>152</v>
      </c>
      <c r="G28" s="38" t="s">
        <v>153</v>
      </c>
      <c r="H28" s="38" t="s">
        <v>154</v>
      </c>
      <c r="I28" s="29" t="s">
        <v>78</v>
      </c>
      <c r="J28" s="38">
        <v>994.0</v>
      </c>
      <c r="K28" s="38">
        <v>540.0</v>
      </c>
      <c r="L28" s="38">
        <v>277.0</v>
      </c>
      <c r="M28" s="38">
        <v>63.0</v>
      </c>
      <c r="N28" s="38">
        <v>16.0</v>
      </c>
      <c r="O28" s="38"/>
      <c r="P28" s="33" t="str">
        <f t="shared" si="10"/>
        <v>5</v>
      </c>
      <c r="Q28" s="33" t="str">
        <f t="shared" si="2"/>
        <v>3</v>
      </c>
      <c r="R28" s="33" t="str">
        <f t="shared" si="3"/>
        <v>0</v>
      </c>
      <c r="S28" s="33" t="str">
        <f t="shared" si="4"/>
        <v>2</v>
      </c>
      <c r="T28" s="38">
        <v>2.0</v>
      </c>
      <c r="U28" s="38">
        <v>0.0</v>
      </c>
      <c r="V28" s="38">
        <v>0.0</v>
      </c>
      <c r="W28" s="38">
        <v>0.0</v>
      </c>
      <c r="X28" s="38">
        <v>0.0</v>
      </c>
      <c r="Y28" s="38">
        <v>1.0</v>
      </c>
      <c r="Z28" s="38">
        <v>0.0</v>
      </c>
      <c r="AA28" s="38" t="s">
        <v>67</v>
      </c>
      <c r="AB28" s="38" t="s">
        <v>67</v>
      </c>
      <c r="AC28" s="38" t="s">
        <v>67</v>
      </c>
      <c r="AD28" s="34" t="str">
        <f t="shared" si="5"/>
        <v>3</v>
      </c>
      <c r="AE28" s="38">
        <v>0.0</v>
      </c>
      <c r="AF28" s="38">
        <v>0.0</v>
      </c>
      <c r="AG28" s="38">
        <v>0.0</v>
      </c>
      <c r="AH28" s="38">
        <v>0.0</v>
      </c>
      <c r="AI28" s="38">
        <v>0.0</v>
      </c>
      <c r="AJ28" s="34" t="str">
        <f t="shared" si="6"/>
        <v>0</v>
      </c>
      <c r="AK28" s="38">
        <v>0.0</v>
      </c>
      <c r="AL28" s="38">
        <v>0.0</v>
      </c>
      <c r="AM28" s="38">
        <v>2.0</v>
      </c>
      <c r="AN28" s="38">
        <v>0.0</v>
      </c>
      <c r="AO28" s="38">
        <v>0.0</v>
      </c>
      <c r="AP28" s="29" t="s">
        <v>67</v>
      </c>
      <c r="AQ28" s="38" t="s">
        <v>67</v>
      </c>
      <c r="AR28" s="38" t="s">
        <v>67</v>
      </c>
      <c r="AS28" s="38" t="s">
        <v>67</v>
      </c>
      <c r="AT28" s="38" t="s">
        <v>67</v>
      </c>
      <c r="AU28" s="38" t="s">
        <v>67</v>
      </c>
      <c r="AV28" s="38" t="s">
        <v>67</v>
      </c>
      <c r="AW28" s="38" t="s">
        <v>67</v>
      </c>
      <c r="AX28" s="38" t="s">
        <v>67</v>
      </c>
      <c r="AY28" s="38" t="s">
        <v>67</v>
      </c>
      <c r="AZ28" s="38" t="s">
        <v>67</v>
      </c>
      <c r="BA28" s="38" t="s">
        <v>67</v>
      </c>
      <c r="BB28" s="38" t="s">
        <v>67</v>
      </c>
      <c r="BC28" s="38" t="s">
        <v>67</v>
      </c>
      <c r="BD28" s="38" t="s">
        <v>67</v>
      </c>
      <c r="BE28" s="38" t="s">
        <v>67</v>
      </c>
      <c r="BF28" s="38">
        <v>0.0</v>
      </c>
      <c r="BG28" s="38" t="s">
        <v>67</v>
      </c>
      <c r="BH28" s="38" t="s">
        <v>67</v>
      </c>
      <c r="BI28" s="38" t="s">
        <v>67</v>
      </c>
      <c r="BJ28" s="38" t="s">
        <v>67</v>
      </c>
      <c r="BK28" s="38" t="s">
        <v>67</v>
      </c>
      <c r="BL28" s="38" t="s">
        <v>67</v>
      </c>
      <c r="BM28" s="38" t="s">
        <v>67</v>
      </c>
      <c r="BN28" s="34" t="str">
        <f t="shared" si="7"/>
        <v>2</v>
      </c>
    </row>
    <row r="29" ht="15.75" customHeight="1">
      <c r="A29" s="38">
        <v>17.0</v>
      </c>
      <c r="B29" s="25" t="s">
        <v>155</v>
      </c>
      <c r="C29" s="58" t="s">
        <v>156</v>
      </c>
      <c r="D29" s="53" t="s">
        <v>147</v>
      </c>
      <c r="E29" s="38">
        <v>3130.0</v>
      </c>
      <c r="F29" s="38" t="s">
        <v>157</v>
      </c>
      <c r="G29" s="38" t="s">
        <v>158</v>
      </c>
      <c r="H29" s="38" t="s">
        <v>159</v>
      </c>
      <c r="I29" s="29" t="s">
        <v>160</v>
      </c>
      <c r="J29" s="38">
        <v>1206.0</v>
      </c>
      <c r="K29" s="38">
        <v>415.0</v>
      </c>
      <c r="L29" s="38">
        <v>415.0</v>
      </c>
      <c r="M29" s="38">
        <v>1.0</v>
      </c>
      <c r="N29" s="38"/>
      <c r="O29" s="38"/>
      <c r="P29" s="33"/>
      <c r="Q29" s="33"/>
      <c r="R29" s="33"/>
      <c r="S29" s="33"/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 t="s">
        <v>67</v>
      </c>
      <c r="AA29" s="38" t="s">
        <v>67</v>
      </c>
      <c r="AB29" s="38" t="s">
        <v>67</v>
      </c>
      <c r="AC29" s="38" t="s">
        <v>67</v>
      </c>
      <c r="AD29" s="34" t="str">
        <f t="shared" si="5"/>
        <v>0</v>
      </c>
      <c r="AE29" s="38">
        <v>0.0</v>
      </c>
      <c r="AF29" s="38">
        <v>0.0</v>
      </c>
      <c r="AG29" s="38">
        <v>0.0</v>
      </c>
      <c r="AH29" s="38">
        <v>0.0</v>
      </c>
      <c r="AI29" s="38">
        <v>0.0</v>
      </c>
      <c r="AJ29" s="34" t="str">
        <f t="shared" si="6"/>
        <v>0</v>
      </c>
      <c r="AK29" s="38">
        <v>0.0</v>
      </c>
      <c r="AL29" s="38">
        <v>0.0</v>
      </c>
      <c r="AM29" s="38">
        <v>0.0</v>
      </c>
      <c r="AN29" s="38">
        <v>0.0</v>
      </c>
      <c r="AO29" s="38">
        <v>0.0</v>
      </c>
      <c r="AP29" s="29" t="s">
        <v>67</v>
      </c>
      <c r="AQ29" s="38" t="s">
        <v>67</v>
      </c>
      <c r="AR29" s="38" t="s">
        <v>67</v>
      </c>
      <c r="AS29" s="38" t="s">
        <v>67</v>
      </c>
      <c r="AT29" s="38" t="s">
        <v>67</v>
      </c>
      <c r="AU29" s="38" t="s">
        <v>67</v>
      </c>
      <c r="AV29" s="38" t="s">
        <v>67</v>
      </c>
      <c r="AW29" s="38" t="s">
        <v>67</v>
      </c>
      <c r="AX29" s="38" t="s">
        <v>67</v>
      </c>
      <c r="AY29" s="38" t="s">
        <v>67</v>
      </c>
      <c r="AZ29" s="38" t="s">
        <v>67</v>
      </c>
      <c r="BA29" s="38" t="s">
        <v>67</v>
      </c>
      <c r="BB29" s="38" t="s">
        <v>67</v>
      </c>
      <c r="BC29" s="38" t="s">
        <v>67</v>
      </c>
      <c r="BD29" s="38" t="s">
        <v>67</v>
      </c>
      <c r="BE29" s="38" t="s">
        <v>67</v>
      </c>
      <c r="BF29" s="38" t="s">
        <v>67</v>
      </c>
      <c r="BG29" s="38" t="s">
        <v>67</v>
      </c>
      <c r="BH29" s="38" t="s">
        <v>67</v>
      </c>
      <c r="BI29" s="38" t="s">
        <v>67</v>
      </c>
      <c r="BJ29" s="38" t="s">
        <v>67</v>
      </c>
      <c r="BK29" s="38" t="s">
        <v>67</v>
      </c>
      <c r="BL29" s="38" t="s">
        <v>67</v>
      </c>
      <c r="BM29" s="38" t="s">
        <v>67</v>
      </c>
      <c r="BN29" s="34" t="str">
        <f t="shared" si="7"/>
        <v>0</v>
      </c>
    </row>
    <row r="30" ht="15.75" customHeight="1">
      <c r="A30" s="31">
        <v>18.0</v>
      </c>
      <c r="B30" s="25" t="s">
        <v>161</v>
      </c>
      <c r="C30" s="26" t="s">
        <v>162</v>
      </c>
      <c r="D30" s="27" t="s">
        <v>163</v>
      </c>
      <c r="E30" s="28">
        <v>3130.0</v>
      </c>
      <c r="F30" s="29" t="s">
        <v>164</v>
      </c>
      <c r="G30" s="28" t="s">
        <v>165</v>
      </c>
      <c r="H30" s="28" t="s">
        <v>154</v>
      </c>
      <c r="I30" s="28" t="s">
        <v>166</v>
      </c>
      <c r="J30" s="28">
        <v>602.0</v>
      </c>
      <c r="K30" s="28">
        <v>406.0</v>
      </c>
      <c r="L30" s="31">
        <v>350.0</v>
      </c>
      <c r="M30" s="31">
        <v>128.0</v>
      </c>
      <c r="N30" s="31">
        <v>57.0</v>
      </c>
      <c r="O30" s="31"/>
      <c r="P30" s="33" t="str">
        <f t="shared" ref="P30:P49" si="11">sum(Q30:S30)</f>
        <v>0</v>
      </c>
      <c r="Q30" s="33" t="str">
        <f t="shared" ref="Q30:Q76" si="12">AD30</f>
        <v>0</v>
      </c>
      <c r="R30" s="33" t="str">
        <f t="shared" ref="R30:R76" si="13">AJ30</f>
        <v>0</v>
      </c>
      <c r="S30" s="33" t="str">
        <f t="shared" ref="S30:S76" si="14">BN30</f>
        <v>0</v>
      </c>
      <c r="T30" s="29">
        <v>0.0</v>
      </c>
      <c r="U30" s="29">
        <v>0.0</v>
      </c>
      <c r="V30" s="29">
        <v>0.0</v>
      </c>
      <c r="W30" s="29">
        <v>0.0</v>
      </c>
      <c r="X30" s="29">
        <v>0.0</v>
      </c>
      <c r="Y30" s="29">
        <v>0.0</v>
      </c>
      <c r="Z30" s="29">
        <v>0.0</v>
      </c>
      <c r="AA30" s="29" t="s">
        <v>67</v>
      </c>
      <c r="AB30" s="29" t="s">
        <v>67</v>
      </c>
      <c r="AC30" s="29" t="s">
        <v>67</v>
      </c>
      <c r="AD30" s="34" t="str">
        <f t="shared" si="5"/>
        <v>0</v>
      </c>
      <c r="AE30" s="29">
        <v>0.0</v>
      </c>
      <c r="AF30" s="29">
        <v>0.0</v>
      </c>
      <c r="AG30" s="29">
        <v>0.0</v>
      </c>
      <c r="AH30" s="29">
        <v>0.0</v>
      </c>
      <c r="AI30" s="29">
        <v>0.0</v>
      </c>
      <c r="AJ30" s="34" t="str">
        <f t="shared" si="6"/>
        <v>0</v>
      </c>
      <c r="AK30" s="29">
        <v>0.0</v>
      </c>
      <c r="AL30" s="29">
        <v>0.0</v>
      </c>
      <c r="AM30" s="29">
        <v>0.0</v>
      </c>
      <c r="AN30" s="29">
        <v>0.0</v>
      </c>
      <c r="AO30" s="29">
        <v>0.0</v>
      </c>
      <c r="AP30" s="29" t="s">
        <v>67</v>
      </c>
      <c r="AQ30" s="29" t="s">
        <v>67</v>
      </c>
      <c r="AR30" s="29" t="s">
        <v>67</v>
      </c>
      <c r="AS30" s="29" t="s">
        <v>67</v>
      </c>
      <c r="AT30" s="29" t="s">
        <v>67</v>
      </c>
      <c r="AU30" s="29" t="s">
        <v>67</v>
      </c>
      <c r="AV30" s="29" t="s">
        <v>67</v>
      </c>
      <c r="AW30" s="29" t="s">
        <v>67</v>
      </c>
      <c r="AX30" s="29" t="s">
        <v>67</v>
      </c>
      <c r="AY30" s="29" t="s">
        <v>67</v>
      </c>
      <c r="AZ30" s="29" t="s">
        <v>67</v>
      </c>
      <c r="BA30" s="29" t="s">
        <v>67</v>
      </c>
      <c r="BB30" s="29" t="s">
        <v>67</v>
      </c>
      <c r="BC30" s="29" t="s">
        <v>67</v>
      </c>
      <c r="BD30" s="29" t="s">
        <v>67</v>
      </c>
      <c r="BE30" s="29" t="s">
        <v>67</v>
      </c>
      <c r="BF30" s="29">
        <v>0.0</v>
      </c>
      <c r="BG30" s="29" t="s">
        <v>67</v>
      </c>
      <c r="BH30" s="29" t="s">
        <v>67</v>
      </c>
      <c r="BI30" s="29" t="s">
        <v>67</v>
      </c>
      <c r="BJ30" s="29" t="s">
        <v>67</v>
      </c>
      <c r="BK30" s="29" t="s">
        <v>67</v>
      </c>
      <c r="BL30" s="29" t="s">
        <v>67</v>
      </c>
      <c r="BM30" s="29" t="s">
        <v>67</v>
      </c>
      <c r="BN30" s="34" t="str">
        <f t="shared" si="7"/>
        <v>0</v>
      </c>
    </row>
    <row r="31" ht="15.75" customHeight="1">
      <c r="A31" s="11"/>
      <c r="B31" s="11"/>
      <c r="C31" s="11"/>
      <c r="D31" s="11"/>
      <c r="E31" s="11"/>
      <c r="F31" s="29" t="s">
        <v>167</v>
      </c>
      <c r="G31" s="11"/>
      <c r="H31" s="11"/>
      <c r="I31" s="11"/>
      <c r="J31" s="11"/>
      <c r="K31" s="11"/>
      <c r="L31" s="11"/>
      <c r="M31" s="11"/>
      <c r="N31" s="11"/>
      <c r="O31" s="11"/>
      <c r="P31" s="33" t="str">
        <f t="shared" si="11"/>
        <v>0</v>
      </c>
      <c r="Q31" s="33" t="str">
        <f t="shared" si="12"/>
        <v>0</v>
      </c>
      <c r="R31" s="33" t="str">
        <f t="shared" si="13"/>
        <v>0</v>
      </c>
      <c r="S31" s="33" t="str">
        <f t="shared" si="14"/>
        <v>0</v>
      </c>
      <c r="T31" s="29">
        <v>0.0</v>
      </c>
      <c r="U31" s="29">
        <v>0.0</v>
      </c>
      <c r="V31" s="29">
        <v>0.0</v>
      </c>
      <c r="W31" s="29">
        <v>0.0</v>
      </c>
      <c r="X31" s="29">
        <v>0.0</v>
      </c>
      <c r="Y31" s="29">
        <v>0.0</v>
      </c>
      <c r="Z31" s="29">
        <v>0.0</v>
      </c>
      <c r="AA31" s="29" t="s">
        <v>67</v>
      </c>
      <c r="AB31" s="29" t="s">
        <v>67</v>
      </c>
      <c r="AC31" s="29" t="s">
        <v>67</v>
      </c>
      <c r="AD31" s="34" t="str">
        <f t="shared" si="5"/>
        <v>0</v>
      </c>
      <c r="AE31" s="29">
        <v>0.0</v>
      </c>
      <c r="AF31" s="29">
        <v>0.0</v>
      </c>
      <c r="AG31" s="29">
        <v>0.0</v>
      </c>
      <c r="AH31" s="29">
        <v>0.0</v>
      </c>
      <c r="AI31" s="29">
        <v>0.0</v>
      </c>
      <c r="AJ31" s="34" t="str">
        <f t="shared" si="6"/>
        <v>0</v>
      </c>
      <c r="AK31" s="29">
        <v>0.0</v>
      </c>
      <c r="AL31" s="29">
        <v>0.0</v>
      </c>
      <c r="AM31" s="29">
        <v>0.0</v>
      </c>
      <c r="AN31" s="29">
        <v>0.0</v>
      </c>
      <c r="AO31" s="29">
        <v>0.0</v>
      </c>
      <c r="AP31" s="29" t="s">
        <v>67</v>
      </c>
      <c r="AQ31" s="29" t="s">
        <v>67</v>
      </c>
      <c r="AR31" s="29" t="s">
        <v>67</v>
      </c>
      <c r="AS31" s="29" t="s">
        <v>67</v>
      </c>
      <c r="AT31" s="29" t="s">
        <v>67</v>
      </c>
      <c r="AU31" s="29" t="s">
        <v>67</v>
      </c>
      <c r="AV31" s="29" t="s">
        <v>67</v>
      </c>
      <c r="AW31" s="29" t="s">
        <v>67</v>
      </c>
      <c r="AX31" s="29" t="s">
        <v>67</v>
      </c>
      <c r="AY31" s="29" t="s">
        <v>67</v>
      </c>
      <c r="AZ31" s="29" t="s">
        <v>67</v>
      </c>
      <c r="BA31" s="29" t="s">
        <v>67</v>
      </c>
      <c r="BB31" s="29" t="s">
        <v>67</v>
      </c>
      <c r="BC31" s="29" t="s">
        <v>67</v>
      </c>
      <c r="BD31" s="29" t="s">
        <v>67</v>
      </c>
      <c r="BE31" s="29" t="s">
        <v>67</v>
      </c>
      <c r="BF31" s="29">
        <v>0.0</v>
      </c>
      <c r="BG31" s="29" t="s">
        <v>67</v>
      </c>
      <c r="BH31" s="29" t="s">
        <v>67</v>
      </c>
      <c r="BI31" s="29" t="s">
        <v>67</v>
      </c>
      <c r="BJ31" s="29" t="s">
        <v>67</v>
      </c>
      <c r="BK31" s="29" t="s">
        <v>67</v>
      </c>
      <c r="BL31" s="29" t="s">
        <v>67</v>
      </c>
      <c r="BM31" s="29" t="s">
        <v>67</v>
      </c>
      <c r="BN31" s="34" t="str">
        <f t="shared" si="7"/>
        <v>0</v>
      </c>
    </row>
    <row r="32" ht="15.75" customHeight="1">
      <c r="A32" s="11"/>
      <c r="B32" s="11"/>
      <c r="C32" s="11"/>
      <c r="D32" s="11"/>
      <c r="E32" s="11"/>
      <c r="F32" s="29" t="s">
        <v>168</v>
      </c>
      <c r="G32" s="11"/>
      <c r="H32" s="11"/>
      <c r="I32" s="11"/>
      <c r="J32" s="11"/>
      <c r="K32" s="11"/>
      <c r="L32" s="11"/>
      <c r="M32" s="11"/>
      <c r="N32" s="11"/>
      <c r="O32" s="11"/>
      <c r="P32" s="33" t="str">
        <f t="shared" si="11"/>
        <v>1</v>
      </c>
      <c r="Q32" s="33" t="str">
        <f t="shared" si="12"/>
        <v>1</v>
      </c>
      <c r="R32" s="33" t="str">
        <f t="shared" si="13"/>
        <v>0</v>
      </c>
      <c r="S32" s="33" t="str">
        <f t="shared" si="14"/>
        <v>0</v>
      </c>
      <c r="T32" s="29">
        <v>1.0</v>
      </c>
      <c r="U32" s="29">
        <v>0.0</v>
      </c>
      <c r="V32" s="29">
        <v>0.0</v>
      </c>
      <c r="W32" s="29">
        <v>0.0</v>
      </c>
      <c r="X32" s="29">
        <v>0.0</v>
      </c>
      <c r="Y32" s="29">
        <v>0.0</v>
      </c>
      <c r="Z32" s="29">
        <v>0.0</v>
      </c>
      <c r="AA32" s="29" t="s">
        <v>67</v>
      </c>
      <c r="AB32" s="29" t="s">
        <v>67</v>
      </c>
      <c r="AC32" s="29" t="s">
        <v>67</v>
      </c>
      <c r="AD32" s="34" t="str">
        <f t="shared" si="5"/>
        <v>1</v>
      </c>
      <c r="AE32" s="29">
        <v>0.0</v>
      </c>
      <c r="AF32" s="29">
        <v>0.0</v>
      </c>
      <c r="AG32" s="29">
        <v>0.0</v>
      </c>
      <c r="AH32" s="29">
        <v>0.0</v>
      </c>
      <c r="AI32" s="29">
        <v>0.0</v>
      </c>
      <c r="AJ32" s="34" t="str">
        <f t="shared" si="6"/>
        <v>0</v>
      </c>
      <c r="AK32" s="29">
        <v>0.0</v>
      </c>
      <c r="AL32" s="29">
        <v>0.0</v>
      </c>
      <c r="AM32" s="29">
        <v>0.0</v>
      </c>
      <c r="AN32" s="29">
        <v>0.0</v>
      </c>
      <c r="AO32" s="29">
        <v>0.0</v>
      </c>
      <c r="AP32" s="29" t="s">
        <v>67</v>
      </c>
      <c r="AQ32" s="29" t="s">
        <v>67</v>
      </c>
      <c r="AR32" s="29" t="s">
        <v>67</v>
      </c>
      <c r="AS32" s="29" t="s">
        <v>67</v>
      </c>
      <c r="AT32" s="29" t="s">
        <v>67</v>
      </c>
      <c r="AU32" s="29" t="s">
        <v>67</v>
      </c>
      <c r="AV32" s="29" t="s">
        <v>67</v>
      </c>
      <c r="AW32" s="29" t="s">
        <v>67</v>
      </c>
      <c r="AX32" s="29" t="s">
        <v>67</v>
      </c>
      <c r="AY32" s="29" t="s">
        <v>67</v>
      </c>
      <c r="AZ32" s="29" t="s">
        <v>67</v>
      </c>
      <c r="BA32" s="29" t="s">
        <v>67</v>
      </c>
      <c r="BB32" s="29" t="s">
        <v>67</v>
      </c>
      <c r="BC32" s="29" t="s">
        <v>67</v>
      </c>
      <c r="BD32" s="29" t="s">
        <v>67</v>
      </c>
      <c r="BE32" s="29" t="s">
        <v>67</v>
      </c>
      <c r="BF32" s="29">
        <v>0.0</v>
      </c>
      <c r="BG32" s="29" t="s">
        <v>67</v>
      </c>
      <c r="BH32" s="29" t="s">
        <v>67</v>
      </c>
      <c r="BI32" s="29" t="s">
        <v>67</v>
      </c>
      <c r="BJ32" s="29" t="s">
        <v>67</v>
      </c>
      <c r="BK32" s="29" t="s">
        <v>67</v>
      </c>
      <c r="BL32" s="29" t="s">
        <v>67</v>
      </c>
      <c r="BM32" s="29" t="s">
        <v>67</v>
      </c>
      <c r="BN32" s="34" t="str">
        <f t="shared" si="7"/>
        <v>0</v>
      </c>
    </row>
    <row r="33" ht="15.75" customHeight="1">
      <c r="A33" s="11"/>
      <c r="B33" s="11"/>
      <c r="C33" s="11"/>
      <c r="D33" s="11"/>
      <c r="E33" s="11"/>
      <c r="F33" s="29" t="s">
        <v>169</v>
      </c>
      <c r="G33" s="11"/>
      <c r="H33" s="11"/>
      <c r="I33" s="11"/>
      <c r="J33" s="11"/>
      <c r="K33" s="11"/>
      <c r="L33" s="11"/>
      <c r="M33" s="11"/>
      <c r="N33" s="11"/>
      <c r="O33" s="11"/>
      <c r="P33" s="33" t="str">
        <f t="shared" si="11"/>
        <v>0</v>
      </c>
      <c r="Q33" s="33" t="str">
        <f t="shared" si="12"/>
        <v>0</v>
      </c>
      <c r="R33" s="33" t="str">
        <f t="shared" si="13"/>
        <v>0</v>
      </c>
      <c r="S33" s="33" t="str">
        <f t="shared" si="14"/>
        <v>0</v>
      </c>
      <c r="T33" s="29">
        <v>0.0</v>
      </c>
      <c r="U33" s="29">
        <v>0.0</v>
      </c>
      <c r="V33" s="29">
        <v>0.0</v>
      </c>
      <c r="W33" s="29">
        <v>0.0</v>
      </c>
      <c r="X33" s="29">
        <v>0.0</v>
      </c>
      <c r="Y33" s="29">
        <v>0.0</v>
      </c>
      <c r="Z33" s="29">
        <v>0.0</v>
      </c>
      <c r="AA33" s="29" t="s">
        <v>67</v>
      </c>
      <c r="AB33" s="29" t="s">
        <v>67</v>
      </c>
      <c r="AC33" s="29" t="s">
        <v>67</v>
      </c>
      <c r="AD33" s="34" t="str">
        <f t="shared" si="5"/>
        <v>0</v>
      </c>
      <c r="AE33" s="29">
        <v>0.0</v>
      </c>
      <c r="AF33" s="29">
        <v>0.0</v>
      </c>
      <c r="AG33" s="29">
        <v>0.0</v>
      </c>
      <c r="AH33" s="29">
        <v>0.0</v>
      </c>
      <c r="AI33" s="29">
        <v>0.0</v>
      </c>
      <c r="AJ33" s="34" t="str">
        <f t="shared" si="6"/>
        <v>0</v>
      </c>
      <c r="AK33" s="29">
        <v>0.0</v>
      </c>
      <c r="AL33" s="29">
        <v>0.0</v>
      </c>
      <c r="AM33" s="29">
        <v>0.0</v>
      </c>
      <c r="AN33" s="29">
        <v>0.0</v>
      </c>
      <c r="AO33" s="29">
        <v>0.0</v>
      </c>
      <c r="AP33" s="29" t="s">
        <v>67</v>
      </c>
      <c r="AQ33" s="29" t="s">
        <v>67</v>
      </c>
      <c r="AR33" s="29" t="s">
        <v>67</v>
      </c>
      <c r="AS33" s="29" t="s">
        <v>67</v>
      </c>
      <c r="AT33" s="29" t="s">
        <v>67</v>
      </c>
      <c r="AU33" s="29" t="s">
        <v>67</v>
      </c>
      <c r="AV33" s="29" t="s">
        <v>67</v>
      </c>
      <c r="AW33" s="29" t="s">
        <v>67</v>
      </c>
      <c r="AX33" s="29" t="s">
        <v>67</v>
      </c>
      <c r="AY33" s="29" t="s">
        <v>67</v>
      </c>
      <c r="AZ33" s="29" t="s">
        <v>67</v>
      </c>
      <c r="BA33" s="29" t="s">
        <v>67</v>
      </c>
      <c r="BB33" s="29" t="s">
        <v>67</v>
      </c>
      <c r="BC33" s="29" t="s">
        <v>67</v>
      </c>
      <c r="BD33" s="29" t="s">
        <v>67</v>
      </c>
      <c r="BE33" s="29" t="s">
        <v>67</v>
      </c>
      <c r="BF33" s="29">
        <v>0.0</v>
      </c>
      <c r="BG33" s="29" t="s">
        <v>67</v>
      </c>
      <c r="BH33" s="29" t="s">
        <v>67</v>
      </c>
      <c r="BI33" s="29" t="s">
        <v>67</v>
      </c>
      <c r="BJ33" s="29" t="s">
        <v>67</v>
      </c>
      <c r="BK33" s="29" t="s">
        <v>67</v>
      </c>
      <c r="BL33" s="29" t="s">
        <v>67</v>
      </c>
      <c r="BM33" s="29" t="s">
        <v>67</v>
      </c>
      <c r="BN33" s="34" t="str">
        <f t="shared" si="7"/>
        <v>0</v>
      </c>
    </row>
    <row r="34" ht="15.75" customHeight="1">
      <c r="A34" s="11"/>
      <c r="B34" s="11"/>
      <c r="C34" s="11"/>
      <c r="D34" s="11"/>
      <c r="E34" s="11"/>
      <c r="F34" s="29" t="s">
        <v>170</v>
      </c>
      <c r="G34" s="11"/>
      <c r="H34" s="11"/>
      <c r="I34" s="11"/>
      <c r="J34" s="11"/>
      <c r="K34" s="11"/>
      <c r="L34" s="11"/>
      <c r="M34" s="11"/>
      <c r="N34" s="11"/>
      <c r="O34" s="11"/>
      <c r="P34" s="33" t="str">
        <f t="shared" si="11"/>
        <v>0</v>
      </c>
      <c r="Q34" s="33" t="str">
        <f t="shared" si="12"/>
        <v>0</v>
      </c>
      <c r="R34" s="33" t="str">
        <f t="shared" si="13"/>
        <v>0</v>
      </c>
      <c r="S34" s="33" t="str">
        <f t="shared" si="14"/>
        <v>0</v>
      </c>
      <c r="T34" s="29">
        <v>0.0</v>
      </c>
      <c r="U34" s="29">
        <v>0.0</v>
      </c>
      <c r="V34" s="29">
        <v>0.0</v>
      </c>
      <c r="W34" s="29">
        <v>0.0</v>
      </c>
      <c r="X34" s="29">
        <v>0.0</v>
      </c>
      <c r="Y34" s="29">
        <v>0.0</v>
      </c>
      <c r="Z34" s="29">
        <v>0.0</v>
      </c>
      <c r="AA34" s="29" t="s">
        <v>67</v>
      </c>
      <c r="AB34" s="29" t="s">
        <v>67</v>
      </c>
      <c r="AC34" s="29" t="s">
        <v>67</v>
      </c>
      <c r="AD34" s="34" t="str">
        <f t="shared" si="5"/>
        <v>0</v>
      </c>
      <c r="AE34" s="29">
        <v>0.0</v>
      </c>
      <c r="AF34" s="29">
        <v>0.0</v>
      </c>
      <c r="AG34" s="29">
        <v>0.0</v>
      </c>
      <c r="AH34" s="29">
        <v>0.0</v>
      </c>
      <c r="AI34" s="29">
        <v>0.0</v>
      </c>
      <c r="AJ34" s="34" t="str">
        <f t="shared" si="6"/>
        <v>0</v>
      </c>
      <c r="AK34" s="29">
        <v>0.0</v>
      </c>
      <c r="AL34" s="29">
        <v>0.0</v>
      </c>
      <c r="AM34" s="29">
        <v>0.0</v>
      </c>
      <c r="AN34" s="29">
        <v>0.0</v>
      </c>
      <c r="AO34" s="29">
        <v>0.0</v>
      </c>
      <c r="AP34" s="29" t="s">
        <v>67</v>
      </c>
      <c r="AQ34" s="29" t="s">
        <v>67</v>
      </c>
      <c r="AR34" s="29" t="s">
        <v>67</v>
      </c>
      <c r="AS34" s="29" t="s">
        <v>67</v>
      </c>
      <c r="AT34" s="29" t="s">
        <v>67</v>
      </c>
      <c r="AU34" s="29" t="s">
        <v>67</v>
      </c>
      <c r="AV34" s="29" t="s">
        <v>67</v>
      </c>
      <c r="AW34" s="29" t="s">
        <v>67</v>
      </c>
      <c r="AX34" s="29" t="s">
        <v>67</v>
      </c>
      <c r="AY34" s="29" t="s">
        <v>67</v>
      </c>
      <c r="AZ34" s="29" t="s">
        <v>67</v>
      </c>
      <c r="BA34" s="29" t="s">
        <v>67</v>
      </c>
      <c r="BB34" s="29" t="s">
        <v>67</v>
      </c>
      <c r="BC34" s="29" t="s">
        <v>67</v>
      </c>
      <c r="BD34" s="29" t="s">
        <v>67</v>
      </c>
      <c r="BE34" s="29" t="s">
        <v>67</v>
      </c>
      <c r="BF34" s="29">
        <v>0.0</v>
      </c>
      <c r="BG34" s="29" t="s">
        <v>67</v>
      </c>
      <c r="BH34" s="29" t="s">
        <v>67</v>
      </c>
      <c r="BI34" s="29" t="s">
        <v>67</v>
      </c>
      <c r="BJ34" s="29" t="s">
        <v>67</v>
      </c>
      <c r="BK34" s="29" t="s">
        <v>67</v>
      </c>
      <c r="BL34" s="29" t="s">
        <v>67</v>
      </c>
      <c r="BM34" s="29" t="s">
        <v>67</v>
      </c>
      <c r="BN34" s="34" t="str">
        <f t="shared" si="7"/>
        <v>0</v>
      </c>
    </row>
    <row r="35" ht="15.75" customHeight="1">
      <c r="A35" s="11"/>
      <c r="B35" s="11"/>
      <c r="C35" s="11"/>
      <c r="D35" s="11"/>
      <c r="E35" s="11"/>
      <c r="F35" s="29" t="s">
        <v>171</v>
      </c>
      <c r="G35" s="11"/>
      <c r="H35" s="11"/>
      <c r="I35" s="11"/>
      <c r="J35" s="11"/>
      <c r="K35" s="11"/>
      <c r="L35" s="11"/>
      <c r="M35" s="11"/>
      <c r="N35" s="11"/>
      <c r="O35" s="11"/>
      <c r="P35" s="33" t="str">
        <f t="shared" si="11"/>
        <v>0</v>
      </c>
      <c r="Q35" s="33" t="str">
        <f t="shared" si="12"/>
        <v>0</v>
      </c>
      <c r="R35" s="33" t="str">
        <f t="shared" si="13"/>
        <v>0</v>
      </c>
      <c r="S35" s="33" t="str">
        <f t="shared" si="14"/>
        <v>0</v>
      </c>
      <c r="T35" s="29">
        <v>0.0</v>
      </c>
      <c r="U35" s="29">
        <v>0.0</v>
      </c>
      <c r="V35" s="29">
        <v>0.0</v>
      </c>
      <c r="W35" s="29">
        <v>0.0</v>
      </c>
      <c r="X35" s="29">
        <v>0.0</v>
      </c>
      <c r="Y35" s="29">
        <v>0.0</v>
      </c>
      <c r="Z35" s="29">
        <v>0.0</v>
      </c>
      <c r="AA35" s="29" t="s">
        <v>67</v>
      </c>
      <c r="AB35" s="29" t="s">
        <v>67</v>
      </c>
      <c r="AC35" s="29" t="s">
        <v>67</v>
      </c>
      <c r="AD35" s="34" t="str">
        <f t="shared" si="5"/>
        <v>0</v>
      </c>
      <c r="AE35" s="29">
        <v>0.0</v>
      </c>
      <c r="AF35" s="29">
        <v>0.0</v>
      </c>
      <c r="AG35" s="29">
        <v>0.0</v>
      </c>
      <c r="AH35" s="29">
        <v>0.0</v>
      </c>
      <c r="AI35" s="29">
        <v>0.0</v>
      </c>
      <c r="AJ35" s="34" t="str">
        <f t="shared" si="6"/>
        <v>0</v>
      </c>
      <c r="AK35" s="29">
        <v>0.0</v>
      </c>
      <c r="AL35" s="29">
        <v>0.0</v>
      </c>
      <c r="AM35" s="29">
        <v>0.0</v>
      </c>
      <c r="AN35" s="29">
        <v>0.0</v>
      </c>
      <c r="AO35" s="29">
        <v>0.0</v>
      </c>
      <c r="AP35" s="29" t="s">
        <v>67</v>
      </c>
      <c r="AQ35" s="29" t="s">
        <v>67</v>
      </c>
      <c r="AR35" s="29" t="s">
        <v>67</v>
      </c>
      <c r="AS35" s="29" t="s">
        <v>67</v>
      </c>
      <c r="AT35" s="29" t="s">
        <v>67</v>
      </c>
      <c r="AU35" s="29" t="s">
        <v>67</v>
      </c>
      <c r="AV35" s="29" t="s">
        <v>67</v>
      </c>
      <c r="AW35" s="29" t="s">
        <v>67</v>
      </c>
      <c r="AX35" s="29" t="s">
        <v>67</v>
      </c>
      <c r="AY35" s="29" t="s">
        <v>67</v>
      </c>
      <c r="AZ35" s="29" t="s">
        <v>67</v>
      </c>
      <c r="BA35" s="29" t="s">
        <v>67</v>
      </c>
      <c r="BB35" s="29" t="s">
        <v>67</v>
      </c>
      <c r="BC35" s="29" t="s">
        <v>67</v>
      </c>
      <c r="BD35" s="29" t="s">
        <v>67</v>
      </c>
      <c r="BE35" s="29" t="s">
        <v>67</v>
      </c>
      <c r="BF35" s="29">
        <v>0.0</v>
      </c>
      <c r="BG35" s="29" t="s">
        <v>67</v>
      </c>
      <c r="BH35" s="29" t="s">
        <v>67</v>
      </c>
      <c r="BI35" s="29" t="s">
        <v>67</v>
      </c>
      <c r="BJ35" s="29" t="s">
        <v>67</v>
      </c>
      <c r="BK35" s="29" t="s">
        <v>67</v>
      </c>
      <c r="BL35" s="29" t="s">
        <v>67</v>
      </c>
      <c r="BM35" s="29" t="s">
        <v>67</v>
      </c>
      <c r="BN35" s="34" t="str">
        <f t="shared" si="7"/>
        <v>0</v>
      </c>
    </row>
    <row r="36" ht="15.75" customHeight="1">
      <c r="A36" s="23"/>
      <c r="B36" s="11"/>
      <c r="C36" s="23"/>
      <c r="D36" s="23"/>
      <c r="E36" s="23"/>
      <c r="F36" s="29" t="s">
        <v>172</v>
      </c>
      <c r="G36" s="28" t="s">
        <v>107</v>
      </c>
      <c r="H36" s="23"/>
      <c r="I36" s="23"/>
      <c r="J36" s="23"/>
      <c r="K36" s="23"/>
      <c r="L36" s="23"/>
      <c r="M36" s="23"/>
      <c r="N36" s="23"/>
      <c r="O36" s="23"/>
      <c r="P36" s="33" t="str">
        <f t="shared" si="11"/>
        <v>0</v>
      </c>
      <c r="Q36" s="33" t="str">
        <f t="shared" si="12"/>
        <v>0</v>
      </c>
      <c r="R36" s="33" t="str">
        <f t="shared" si="13"/>
        <v>0</v>
      </c>
      <c r="S36" s="33" t="str">
        <f t="shared" si="14"/>
        <v>0</v>
      </c>
      <c r="T36" s="29">
        <v>0.0</v>
      </c>
      <c r="U36" s="29">
        <v>0.0</v>
      </c>
      <c r="V36" s="29">
        <v>0.0</v>
      </c>
      <c r="W36" s="29">
        <v>0.0</v>
      </c>
      <c r="X36" s="29">
        <v>0.0</v>
      </c>
      <c r="Y36" s="29">
        <v>0.0</v>
      </c>
      <c r="Z36" s="29">
        <v>0.0</v>
      </c>
      <c r="AA36" s="29" t="s">
        <v>67</v>
      </c>
      <c r="AB36" s="29" t="s">
        <v>67</v>
      </c>
      <c r="AC36" s="29" t="s">
        <v>67</v>
      </c>
      <c r="AD36" s="34" t="str">
        <f t="shared" si="5"/>
        <v>0</v>
      </c>
      <c r="AE36" s="29">
        <v>0.0</v>
      </c>
      <c r="AF36" s="29">
        <v>0.0</v>
      </c>
      <c r="AG36" s="29">
        <v>0.0</v>
      </c>
      <c r="AH36" s="29">
        <v>0.0</v>
      </c>
      <c r="AI36" s="29">
        <v>0.0</v>
      </c>
      <c r="AJ36" s="34" t="str">
        <f t="shared" si="6"/>
        <v>0</v>
      </c>
      <c r="AK36" s="29">
        <v>0.0</v>
      </c>
      <c r="AL36" s="29">
        <v>0.0</v>
      </c>
      <c r="AM36" s="29">
        <v>0.0</v>
      </c>
      <c r="AN36" s="29">
        <v>0.0</v>
      </c>
      <c r="AO36" s="29">
        <v>0.0</v>
      </c>
      <c r="AP36" s="29" t="s">
        <v>67</v>
      </c>
      <c r="AQ36" s="29" t="s">
        <v>67</v>
      </c>
      <c r="AR36" s="29" t="s">
        <v>67</v>
      </c>
      <c r="AS36" s="29" t="s">
        <v>67</v>
      </c>
      <c r="AT36" s="29" t="s">
        <v>67</v>
      </c>
      <c r="AU36" s="29" t="s">
        <v>67</v>
      </c>
      <c r="AV36" s="29" t="s">
        <v>67</v>
      </c>
      <c r="AW36" s="29" t="s">
        <v>67</v>
      </c>
      <c r="AX36" s="29" t="s">
        <v>67</v>
      </c>
      <c r="AY36" s="29" t="s">
        <v>67</v>
      </c>
      <c r="AZ36" s="29" t="s">
        <v>67</v>
      </c>
      <c r="BA36" s="29" t="s">
        <v>67</v>
      </c>
      <c r="BB36" s="29" t="s">
        <v>67</v>
      </c>
      <c r="BC36" s="29" t="s">
        <v>67</v>
      </c>
      <c r="BD36" s="29" t="s">
        <v>67</v>
      </c>
      <c r="BE36" s="29" t="s">
        <v>67</v>
      </c>
      <c r="BF36" s="29">
        <v>0.0</v>
      </c>
      <c r="BG36" s="29" t="s">
        <v>67</v>
      </c>
      <c r="BH36" s="29" t="s">
        <v>67</v>
      </c>
      <c r="BI36" s="29" t="s">
        <v>67</v>
      </c>
      <c r="BJ36" s="29" t="s">
        <v>67</v>
      </c>
      <c r="BK36" s="29" t="s">
        <v>67</v>
      </c>
      <c r="BL36" s="29" t="s">
        <v>67</v>
      </c>
      <c r="BM36" s="29" t="s">
        <v>67</v>
      </c>
      <c r="BN36" s="34" t="str">
        <f t="shared" si="7"/>
        <v>0</v>
      </c>
    </row>
    <row r="37" ht="15.75" customHeight="1">
      <c r="A37" s="31">
        <v>19.0</v>
      </c>
      <c r="B37" s="25" t="s">
        <v>173</v>
      </c>
      <c r="C37" s="26" t="s">
        <v>174</v>
      </c>
      <c r="D37" s="27" t="s">
        <v>175</v>
      </c>
      <c r="E37" s="28">
        <v>3130.0</v>
      </c>
      <c r="F37" s="29" t="s">
        <v>176</v>
      </c>
      <c r="G37" s="28" t="s">
        <v>177</v>
      </c>
      <c r="H37" s="28" t="s">
        <v>178</v>
      </c>
      <c r="I37" s="28" t="s">
        <v>179</v>
      </c>
      <c r="J37" s="28">
        <v>1155.0</v>
      </c>
      <c r="K37" s="28">
        <v>159.0</v>
      </c>
      <c r="L37" s="31">
        <v>159.0</v>
      </c>
      <c r="M37" s="31">
        <v>85.0</v>
      </c>
      <c r="N37" s="31">
        <v>36.0</v>
      </c>
      <c r="O37" s="31">
        <v>20.0</v>
      </c>
      <c r="P37" s="33" t="str">
        <f t="shared" si="11"/>
        <v>0</v>
      </c>
      <c r="Q37" s="33" t="str">
        <f t="shared" si="12"/>
        <v>0</v>
      </c>
      <c r="R37" s="33" t="str">
        <f t="shared" si="13"/>
        <v>0</v>
      </c>
      <c r="S37" s="33" t="str">
        <f t="shared" si="14"/>
        <v>0</v>
      </c>
      <c r="T37" s="29">
        <v>0.0</v>
      </c>
      <c r="U37" s="29">
        <v>0.0</v>
      </c>
      <c r="V37" s="29">
        <v>0.0</v>
      </c>
      <c r="W37" s="29">
        <v>0.0</v>
      </c>
      <c r="X37" s="29">
        <v>0.0</v>
      </c>
      <c r="Y37" s="29">
        <v>0.0</v>
      </c>
      <c r="Z37" s="29">
        <v>0.0</v>
      </c>
      <c r="AA37" s="29">
        <v>0.0</v>
      </c>
      <c r="AB37" s="29">
        <v>0.0</v>
      </c>
      <c r="AC37" s="29">
        <v>0.0</v>
      </c>
      <c r="AD37" s="34" t="str">
        <f t="shared" si="5"/>
        <v>0</v>
      </c>
      <c r="AE37" s="29">
        <v>0.0</v>
      </c>
      <c r="AF37" s="29">
        <v>0.0</v>
      </c>
      <c r="AG37" s="29">
        <v>0.0</v>
      </c>
      <c r="AH37" s="29">
        <v>0.0</v>
      </c>
      <c r="AI37" s="29">
        <v>0.0</v>
      </c>
      <c r="AJ37" s="34" t="str">
        <f t="shared" si="6"/>
        <v>0</v>
      </c>
      <c r="AK37" s="29">
        <v>0.0</v>
      </c>
      <c r="AL37" s="29">
        <v>0.0</v>
      </c>
      <c r="AM37" s="29">
        <v>0.0</v>
      </c>
      <c r="AN37" s="29">
        <v>0.0</v>
      </c>
      <c r="AO37" s="29">
        <v>0.0</v>
      </c>
      <c r="AP37" s="29">
        <v>0.0</v>
      </c>
      <c r="AQ37" s="29">
        <v>0.0</v>
      </c>
      <c r="AR37" s="29">
        <v>0.0</v>
      </c>
      <c r="AS37" s="29" t="s">
        <v>67</v>
      </c>
      <c r="AT37" s="29" t="s">
        <v>67</v>
      </c>
      <c r="AU37" s="29" t="s">
        <v>67</v>
      </c>
      <c r="AV37" s="29" t="s">
        <v>67</v>
      </c>
      <c r="AW37" s="29" t="s">
        <v>67</v>
      </c>
      <c r="AX37" s="29" t="s">
        <v>67</v>
      </c>
      <c r="AY37" s="29" t="s">
        <v>67</v>
      </c>
      <c r="AZ37" s="29" t="s">
        <v>67</v>
      </c>
      <c r="BA37" s="29" t="s">
        <v>67</v>
      </c>
      <c r="BB37" s="29" t="s">
        <v>67</v>
      </c>
      <c r="BC37" s="29" t="s">
        <v>67</v>
      </c>
      <c r="BD37" s="29" t="s">
        <v>67</v>
      </c>
      <c r="BE37" s="29" t="s">
        <v>67</v>
      </c>
      <c r="BF37" s="29" t="s">
        <v>67</v>
      </c>
      <c r="BG37" s="29" t="s">
        <v>67</v>
      </c>
      <c r="BH37" s="29" t="s">
        <v>67</v>
      </c>
      <c r="BI37" s="29" t="s">
        <v>67</v>
      </c>
      <c r="BJ37" s="29" t="s">
        <v>67</v>
      </c>
      <c r="BK37" s="29" t="s">
        <v>67</v>
      </c>
      <c r="BL37" s="29" t="s">
        <v>67</v>
      </c>
      <c r="BM37" s="29" t="s">
        <v>67</v>
      </c>
      <c r="BN37" s="34" t="str">
        <f t="shared" si="7"/>
        <v>0</v>
      </c>
    </row>
    <row r="38" ht="15.75" customHeight="1">
      <c r="A38" s="11"/>
      <c r="B38" s="11"/>
      <c r="C38" s="11"/>
      <c r="D38" s="11"/>
      <c r="E38" s="11"/>
      <c r="F38" s="29" t="s">
        <v>180</v>
      </c>
      <c r="G38" s="11"/>
      <c r="H38" s="11"/>
      <c r="I38" s="11"/>
      <c r="J38" s="11"/>
      <c r="K38" s="11"/>
      <c r="L38" s="11"/>
      <c r="M38" s="11"/>
      <c r="N38" s="11"/>
      <c r="O38" s="11"/>
      <c r="P38" s="33" t="str">
        <f t="shared" si="11"/>
        <v>3</v>
      </c>
      <c r="Q38" s="33" t="str">
        <f t="shared" si="12"/>
        <v>1</v>
      </c>
      <c r="R38" s="33" t="str">
        <f t="shared" si="13"/>
        <v>2</v>
      </c>
      <c r="S38" s="33" t="str">
        <f t="shared" si="14"/>
        <v>0</v>
      </c>
      <c r="T38" s="29">
        <v>1.0</v>
      </c>
      <c r="U38" s="29">
        <v>0.0</v>
      </c>
      <c r="V38" s="29">
        <v>0.0</v>
      </c>
      <c r="W38" s="29">
        <v>0.0</v>
      </c>
      <c r="X38" s="29">
        <v>0.0</v>
      </c>
      <c r="Y38" s="29">
        <v>0.0</v>
      </c>
      <c r="Z38" s="29">
        <v>0.0</v>
      </c>
      <c r="AA38" s="29">
        <v>0.0</v>
      </c>
      <c r="AB38" s="29">
        <v>0.0</v>
      </c>
      <c r="AC38" s="29">
        <v>0.0</v>
      </c>
      <c r="AD38" s="34" t="str">
        <f t="shared" si="5"/>
        <v>1</v>
      </c>
      <c r="AE38" s="29">
        <v>0.0</v>
      </c>
      <c r="AF38" s="29">
        <v>1.0</v>
      </c>
      <c r="AG38" s="29">
        <v>0.0</v>
      </c>
      <c r="AH38" s="29">
        <v>1.0</v>
      </c>
      <c r="AI38" s="29">
        <v>0.0</v>
      </c>
      <c r="AJ38" s="34" t="str">
        <f t="shared" si="6"/>
        <v>2</v>
      </c>
      <c r="AK38" s="29">
        <v>0.0</v>
      </c>
      <c r="AL38" s="29">
        <v>0.0</v>
      </c>
      <c r="AM38" s="29">
        <v>0.0</v>
      </c>
      <c r="AN38" s="29">
        <v>0.0</v>
      </c>
      <c r="AO38" s="29">
        <v>0.0</v>
      </c>
      <c r="AP38" s="29">
        <v>0.0</v>
      </c>
      <c r="AQ38" s="29">
        <v>0.0</v>
      </c>
      <c r="AR38" s="29">
        <v>0.0</v>
      </c>
      <c r="AS38" s="29" t="s">
        <v>67</v>
      </c>
      <c r="AT38" s="29" t="s">
        <v>67</v>
      </c>
      <c r="AU38" s="29" t="s">
        <v>67</v>
      </c>
      <c r="AV38" s="29" t="s">
        <v>67</v>
      </c>
      <c r="AW38" s="29" t="s">
        <v>67</v>
      </c>
      <c r="AX38" s="29" t="s">
        <v>67</v>
      </c>
      <c r="AY38" s="29" t="s">
        <v>67</v>
      </c>
      <c r="AZ38" s="29" t="s">
        <v>67</v>
      </c>
      <c r="BA38" s="29" t="s">
        <v>67</v>
      </c>
      <c r="BB38" s="29" t="s">
        <v>67</v>
      </c>
      <c r="BC38" s="29" t="s">
        <v>67</v>
      </c>
      <c r="BD38" s="29" t="s">
        <v>67</v>
      </c>
      <c r="BE38" s="29" t="s">
        <v>67</v>
      </c>
      <c r="BF38" s="29" t="s">
        <v>67</v>
      </c>
      <c r="BG38" s="29" t="s">
        <v>67</v>
      </c>
      <c r="BH38" s="29" t="s">
        <v>67</v>
      </c>
      <c r="BI38" s="29" t="s">
        <v>67</v>
      </c>
      <c r="BJ38" s="29" t="s">
        <v>67</v>
      </c>
      <c r="BK38" s="29" t="s">
        <v>67</v>
      </c>
      <c r="BL38" s="29" t="s">
        <v>67</v>
      </c>
      <c r="BM38" s="29" t="s">
        <v>67</v>
      </c>
      <c r="BN38" s="34" t="str">
        <f t="shared" si="7"/>
        <v>0</v>
      </c>
    </row>
    <row r="39" ht="15.75" customHeight="1">
      <c r="A39" s="11"/>
      <c r="B39" s="11"/>
      <c r="C39" s="11"/>
      <c r="D39" s="11"/>
      <c r="E39" s="11"/>
      <c r="F39" s="29" t="s">
        <v>181</v>
      </c>
      <c r="G39" s="11"/>
      <c r="H39" s="11"/>
      <c r="I39" s="11"/>
      <c r="J39" s="11"/>
      <c r="K39" s="11"/>
      <c r="L39" s="11"/>
      <c r="M39" s="11"/>
      <c r="N39" s="11"/>
      <c r="O39" s="11"/>
      <c r="P39" s="33" t="str">
        <f t="shared" si="11"/>
        <v>1</v>
      </c>
      <c r="Q39" s="33" t="str">
        <f t="shared" si="12"/>
        <v>1</v>
      </c>
      <c r="R39" s="33" t="str">
        <f t="shared" si="13"/>
        <v>0</v>
      </c>
      <c r="S39" s="33" t="str">
        <f t="shared" si="14"/>
        <v>0</v>
      </c>
      <c r="T39" s="29">
        <v>1.0</v>
      </c>
      <c r="U39" s="29">
        <v>0.0</v>
      </c>
      <c r="V39" s="29">
        <v>0.0</v>
      </c>
      <c r="W39" s="29">
        <v>0.0</v>
      </c>
      <c r="X39" s="29">
        <v>0.0</v>
      </c>
      <c r="Y39" s="29">
        <v>0.0</v>
      </c>
      <c r="Z39" s="29">
        <v>0.0</v>
      </c>
      <c r="AA39" s="29">
        <v>0.0</v>
      </c>
      <c r="AB39" s="29">
        <v>0.0</v>
      </c>
      <c r="AC39" s="29">
        <v>0.0</v>
      </c>
      <c r="AD39" s="34" t="str">
        <f t="shared" si="5"/>
        <v>1</v>
      </c>
      <c r="AE39" s="29">
        <v>0.0</v>
      </c>
      <c r="AF39" s="29">
        <v>0.0</v>
      </c>
      <c r="AG39" s="29">
        <v>0.0</v>
      </c>
      <c r="AH39" s="29">
        <v>0.0</v>
      </c>
      <c r="AI39" s="29">
        <v>0.0</v>
      </c>
      <c r="AJ39" s="34" t="str">
        <f t="shared" si="6"/>
        <v>0</v>
      </c>
      <c r="AK39" s="29">
        <v>0.0</v>
      </c>
      <c r="AL39" s="29">
        <v>0.0</v>
      </c>
      <c r="AM39" s="29">
        <v>0.0</v>
      </c>
      <c r="AN39" s="29">
        <v>0.0</v>
      </c>
      <c r="AO39" s="29">
        <v>0.0</v>
      </c>
      <c r="AP39" s="29">
        <v>0.0</v>
      </c>
      <c r="AQ39" s="29">
        <v>0.0</v>
      </c>
      <c r="AR39" s="29">
        <v>0.0</v>
      </c>
      <c r="AS39" s="29" t="s">
        <v>67</v>
      </c>
      <c r="AT39" s="29" t="s">
        <v>67</v>
      </c>
      <c r="AU39" s="29" t="s">
        <v>67</v>
      </c>
      <c r="AV39" s="29" t="s">
        <v>67</v>
      </c>
      <c r="AW39" s="29" t="s">
        <v>67</v>
      </c>
      <c r="AX39" s="29" t="s">
        <v>67</v>
      </c>
      <c r="AY39" s="29" t="s">
        <v>67</v>
      </c>
      <c r="AZ39" s="29" t="s">
        <v>67</v>
      </c>
      <c r="BA39" s="29" t="s">
        <v>67</v>
      </c>
      <c r="BB39" s="29" t="s">
        <v>67</v>
      </c>
      <c r="BC39" s="29" t="s">
        <v>67</v>
      </c>
      <c r="BD39" s="29" t="s">
        <v>67</v>
      </c>
      <c r="BE39" s="29" t="s">
        <v>67</v>
      </c>
      <c r="BF39" s="29" t="s">
        <v>67</v>
      </c>
      <c r="BG39" s="29" t="s">
        <v>67</v>
      </c>
      <c r="BH39" s="29" t="s">
        <v>67</v>
      </c>
      <c r="BI39" s="29" t="s">
        <v>67</v>
      </c>
      <c r="BJ39" s="29" t="s">
        <v>67</v>
      </c>
      <c r="BK39" s="29" t="s">
        <v>67</v>
      </c>
      <c r="BL39" s="29" t="s">
        <v>67</v>
      </c>
      <c r="BM39" s="29" t="s">
        <v>67</v>
      </c>
      <c r="BN39" s="34" t="str">
        <f t="shared" si="7"/>
        <v>0</v>
      </c>
    </row>
    <row r="40" ht="15.75" customHeight="1">
      <c r="A40" s="11"/>
      <c r="B40" s="11"/>
      <c r="C40" s="11"/>
      <c r="D40" s="11"/>
      <c r="E40" s="11"/>
      <c r="F40" s="29" t="s">
        <v>182</v>
      </c>
      <c r="G40" s="11"/>
      <c r="H40" s="11"/>
      <c r="I40" s="11"/>
      <c r="J40" s="11"/>
      <c r="K40" s="11"/>
      <c r="L40" s="11"/>
      <c r="M40" s="11"/>
      <c r="N40" s="11"/>
      <c r="O40" s="11"/>
      <c r="P40" s="33" t="str">
        <f t="shared" si="11"/>
        <v>2</v>
      </c>
      <c r="Q40" s="33" t="str">
        <f t="shared" si="12"/>
        <v>1</v>
      </c>
      <c r="R40" s="33" t="str">
        <f t="shared" si="13"/>
        <v>1</v>
      </c>
      <c r="S40" s="33" t="str">
        <f t="shared" si="14"/>
        <v>0</v>
      </c>
      <c r="T40" s="29">
        <v>1.0</v>
      </c>
      <c r="U40" s="29">
        <v>0.0</v>
      </c>
      <c r="V40" s="29">
        <v>0.0</v>
      </c>
      <c r="W40" s="29">
        <v>0.0</v>
      </c>
      <c r="X40" s="29">
        <v>0.0</v>
      </c>
      <c r="Y40" s="29">
        <v>0.0</v>
      </c>
      <c r="Z40" s="29">
        <v>0.0</v>
      </c>
      <c r="AA40" s="29">
        <v>0.0</v>
      </c>
      <c r="AB40" s="29">
        <v>0.0</v>
      </c>
      <c r="AC40" s="29">
        <v>0.0</v>
      </c>
      <c r="AD40" s="34" t="str">
        <f t="shared" si="5"/>
        <v>1</v>
      </c>
      <c r="AE40" s="29">
        <v>0.0</v>
      </c>
      <c r="AF40" s="29">
        <v>1.0</v>
      </c>
      <c r="AG40" s="29">
        <v>0.0</v>
      </c>
      <c r="AH40" s="29">
        <v>0.0</v>
      </c>
      <c r="AI40" s="29">
        <v>0.0</v>
      </c>
      <c r="AJ40" s="34" t="str">
        <f t="shared" si="6"/>
        <v>1</v>
      </c>
      <c r="AK40" s="29">
        <v>0.0</v>
      </c>
      <c r="AL40" s="29">
        <v>0.0</v>
      </c>
      <c r="AM40" s="29">
        <v>0.0</v>
      </c>
      <c r="AN40" s="29">
        <v>0.0</v>
      </c>
      <c r="AO40" s="29">
        <v>0.0</v>
      </c>
      <c r="AP40" s="29">
        <v>0.0</v>
      </c>
      <c r="AQ40" s="29">
        <v>0.0</v>
      </c>
      <c r="AR40" s="29">
        <v>0.0</v>
      </c>
      <c r="AS40" s="29" t="s">
        <v>67</v>
      </c>
      <c r="AT40" s="29" t="s">
        <v>67</v>
      </c>
      <c r="AU40" s="29" t="s">
        <v>67</v>
      </c>
      <c r="AV40" s="29" t="s">
        <v>67</v>
      </c>
      <c r="AW40" s="29" t="s">
        <v>67</v>
      </c>
      <c r="AX40" s="29" t="s">
        <v>67</v>
      </c>
      <c r="AY40" s="29" t="s">
        <v>67</v>
      </c>
      <c r="AZ40" s="29" t="s">
        <v>67</v>
      </c>
      <c r="BA40" s="29" t="s">
        <v>67</v>
      </c>
      <c r="BB40" s="29" t="s">
        <v>67</v>
      </c>
      <c r="BC40" s="29" t="s">
        <v>67</v>
      </c>
      <c r="BD40" s="29" t="s">
        <v>67</v>
      </c>
      <c r="BE40" s="29" t="s">
        <v>67</v>
      </c>
      <c r="BF40" s="29" t="s">
        <v>67</v>
      </c>
      <c r="BG40" s="29" t="s">
        <v>67</v>
      </c>
      <c r="BH40" s="29" t="s">
        <v>67</v>
      </c>
      <c r="BI40" s="29" t="s">
        <v>67</v>
      </c>
      <c r="BJ40" s="29" t="s">
        <v>67</v>
      </c>
      <c r="BK40" s="29" t="s">
        <v>67</v>
      </c>
      <c r="BL40" s="29" t="s">
        <v>67</v>
      </c>
      <c r="BM40" s="29" t="s">
        <v>67</v>
      </c>
      <c r="BN40" s="34" t="str">
        <f t="shared" si="7"/>
        <v>0</v>
      </c>
    </row>
    <row r="41" ht="15.75" customHeight="1">
      <c r="A41" s="11"/>
      <c r="B41" s="11"/>
      <c r="C41" s="11"/>
      <c r="D41" s="11"/>
      <c r="E41" s="11"/>
      <c r="F41" s="29" t="s">
        <v>183</v>
      </c>
      <c r="G41" s="11"/>
      <c r="H41" s="23"/>
      <c r="I41" s="11"/>
      <c r="J41" s="11"/>
      <c r="K41" s="11"/>
      <c r="L41" s="11"/>
      <c r="M41" s="11"/>
      <c r="N41" s="11"/>
      <c r="O41" s="11"/>
      <c r="P41" s="33" t="str">
        <f t="shared" si="11"/>
        <v>5</v>
      </c>
      <c r="Q41" s="33" t="str">
        <f t="shared" si="12"/>
        <v>1</v>
      </c>
      <c r="R41" s="33" t="str">
        <f t="shared" si="13"/>
        <v>1</v>
      </c>
      <c r="S41" s="33" t="str">
        <f t="shared" si="14"/>
        <v>3</v>
      </c>
      <c r="T41" s="29">
        <v>0.0</v>
      </c>
      <c r="U41" s="29">
        <v>1.0</v>
      </c>
      <c r="V41" s="29">
        <v>0.0</v>
      </c>
      <c r="W41" s="29">
        <v>0.0</v>
      </c>
      <c r="X41" s="29">
        <v>0.0</v>
      </c>
      <c r="Y41" s="29">
        <v>0.0</v>
      </c>
      <c r="Z41" s="29">
        <v>0.0</v>
      </c>
      <c r="AA41" s="29">
        <v>0.0</v>
      </c>
      <c r="AB41" s="29">
        <v>0.0</v>
      </c>
      <c r="AC41" s="29">
        <v>0.0</v>
      </c>
      <c r="AD41" s="34" t="str">
        <f t="shared" si="5"/>
        <v>1</v>
      </c>
      <c r="AE41" s="29">
        <v>1.0</v>
      </c>
      <c r="AF41" s="29">
        <v>0.0</v>
      </c>
      <c r="AG41" s="29">
        <v>0.0</v>
      </c>
      <c r="AH41" s="29">
        <v>0.0</v>
      </c>
      <c r="AI41" s="29">
        <v>0.0</v>
      </c>
      <c r="AJ41" s="34" t="str">
        <f t="shared" si="6"/>
        <v>1</v>
      </c>
      <c r="AK41" s="29">
        <v>2.0</v>
      </c>
      <c r="AL41" s="29">
        <v>0.0</v>
      </c>
      <c r="AM41" s="29">
        <v>0.0</v>
      </c>
      <c r="AN41" s="29">
        <v>1.0</v>
      </c>
      <c r="AO41" s="29">
        <v>0.0</v>
      </c>
      <c r="AP41" s="29">
        <v>0.0</v>
      </c>
      <c r="AQ41" s="29">
        <v>0.0</v>
      </c>
      <c r="AR41" s="29">
        <v>0.0</v>
      </c>
      <c r="AS41" s="29" t="s">
        <v>67</v>
      </c>
      <c r="AT41" s="29" t="s">
        <v>67</v>
      </c>
      <c r="AU41" s="29" t="s">
        <v>67</v>
      </c>
      <c r="AV41" s="29" t="s">
        <v>67</v>
      </c>
      <c r="AW41" s="29" t="s">
        <v>67</v>
      </c>
      <c r="AX41" s="29" t="s">
        <v>67</v>
      </c>
      <c r="AY41" s="29" t="s">
        <v>67</v>
      </c>
      <c r="AZ41" s="29" t="s">
        <v>67</v>
      </c>
      <c r="BA41" s="29" t="s">
        <v>67</v>
      </c>
      <c r="BB41" s="29" t="s">
        <v>67</v>
      </c>
      <c r="BC41" s="29" t="s">
        <v>67</v>
      </c>
      <c r="BD41" s="29" t="s">
        <v>67</v>
      </c>
      <c r="BE41" s="29" t="s">
        <v>67</v>
      </c>
      <c r="BF41" s="29" t="s">
        <v>67</v>
      </c>
      <c r="BG41" s="29" t="s">
        <v>67</v>
      </c>
      <c r="BH41" s="29" t="s">
        <v>67</v>
      </c>
      <c r="BI41" s="29" t="s">
        <v>67</v>
      </c>
      <c r="BJ41" s="29" t="s">
        <v>67</v>
      </c>
      <c r="BK41" s="29" t="s">
        <v>67</v>
      </c>
      <c r="BL41" s="29" t="s">
        <v>67</v>
      </c>
      <c r="BM41" s="29" t="s">
        <v>67</v>
      </c>
      <c r="BN41" s="34" t="str">
        <f t="shared" si="7"/>
        <v>3</v>
      </c>
    </row>
    <row r="42" ht="15.75" customHeight="1">
      <c r="A42" s="11"/>
      <c r="B42" s="11"/>
      <c r="C42" s="11"/>
      <c r="D42" s="11"/>
      <c r="E42" s="11"/>
      <c r="F42" s="29" t="s">
        <v>184</v>
      </c>
      <c r="G42" s="11"/>
      <c r="H42" s="28" t="s">
        <v>185</v>
      </c>
      <c r="I42" s="11"/>
      <c r="J42" s="11"/>
      <c r="K42" s="11"/>
      <c r="L42" s="11"/>
      <c r="M42" s="11"/>
      <c r="N42" s="11"/>
      <c r="O42" s="11"/>
      <c r="P42" s="33" t="str">
        <f t="shared" si="11"/>
        <v>1</v>
      </c>
      <c r="Q42" s="33" t="str">
        <f t="shared" si="12"/>
        <v>0</v>
      </c>
      <c r="R42" s="33" t="str">
        <f t="shared" si="13"/>
        <v>0</v>
      </c>
      <c r="S42" s="33" t="str">
        <f t="shared" si="14"/>
        <v>1</v>
      </c>
      <c r="T42" s="29" t="s">
        <v>67</v>
      </c>
      <c r="U42" s="29" t="s">
        <v>67</v>
      </c>
      <c r="V42" s="29" t="s">
        <v>67</v>
      </c>
      <c r="W42" s="29" t="s">
        <v>67</v>
      </c>
      <c r="X42" s="29" t="s">
        <v>67</v>
      </c>
      <c r="Y42" s="29" t="s">
        <v>67</v>
      </c>
      <c r="Z42" s="29" t="s">
        <v>67</v>
      </c>
      <c r="AA42" s="29">
        <v>0.0</v>
      </c>
      <c r="AB42" s="29" t="s">
        <v>67</v>
      </c>
      <c r="AC42" s="29" t="s">
        <v>67</v>
      </c>
      <c r="AD42" s="34" t="str">
        <f t="shared" si="5"/>
        <v>0</v>
      </c>
      <c r="AE42" s="29" t="s">
        <v>67</v>
      </c>
      <c r="AF42" s="29" t="s">
        <v>67</v>
      </c>
      <c r="AG42" s="29" t="s">
        <v>67</v>
      </c>
      <c r="AH42" s="29" t="s">
        <v>67</v>
      </c>
      <c r="AI42" s="29" t="s">
        <v>67</v>
      </c>
      <c r="AJ42" s="34" t="str">
        <f t="shared" si="6"/>
        <v>0</v>
      </c>
      <c r="AK42" s="29" t="s">
        <v>67</v>
      </c>
      <c r="AL42" s="29" t="s">
        <v>67</v>
      </c>
      <c r="AM42" s="29" t="s">
        <v>67</v>
      </c>
      <c r="AN42" s="29" t="s">
        <v>67</v>
      </c>
      <c r="AO42" s="29" t="s">
        <v>67</v>
      </c>
      <c r="AP42" s="29" t="s">
        <v>67</v>
      </c>
      <c r="AQ42" s="29">
        <v>1.0</v>
      </c>
      <c r="AR42" s="29" t="s">
        <v>67</v>
      </c>
      <c r="AS42" s="29" t="s">
        <v>67</v>
      </c>
      <c r="AT42" s="29" t="s">
        <v>67</v>
      </c>
      <c r="AU42" s="29" t="s">
        <v>67</v>
      </c>
      <c r="AV42" s="29" t="s">
        <v>67</v>
      </c>
      <c r="AW42" s="29" t="s">
        <v>67</v>
      </c>
      <c r="AX42" s="29" t="s">
        <v>67</v>
      </c>
      <c r="AY42" s="29" t="s">
        <v>67</v>
      </c>
      <c r="AZ42" s="29" t="s">
        <v>67</v>
      </c>
      <c r="BA42" s="29" t="s">
        <v>67</v>
      </c>
      <c r="BB42" s="29" t="s">
        <v>67</v>
      </c>
      <c r="BC42" s="29" t="s">
        <v>67</v>
      </c>
      <c r="BD42" s="29" t="s">
        <v>67</v>
      </c>
      <c r="BE42" s="29" t="s">
        <v>67</v>
      </c>
      <c r="BF42" s="29" t="s">
        <v>67</v>
      </c>
      <c r="BG42" s="29" t="s">
        <v>67</v>
      </c>
      <c r="BH42" s="29" t="s">
        <v>67</v>
      </c>
      <c r="BI42" s="29" t="s">
        <v>67</v>
      </c>
      <c r="BJ42" s="29" t="s">
        <v>67</v>
      </c>
      <c r="BK42" s="29" t="s">
        <v>67</v>
      </c>
      <c r="BL42" s="29" t="s">
        <v>67</v>
      </c>
      <c r="BM42" s="29" t="s">
        <v>67</v>
      </c>
      <c r="BN42" s="34" t="str">
        <f t="shared" si="7"/>
        <v>1</v>
      </c>
    </row>
    <row r="43" ht="15.75" customHeight="1">
      <c r="A43" s="23"/>
      <c r="B43" s="11"/>
      <c r="C43" s="23"/>
      <c r="D43" s="23"/>
      <c r="E43" s="23"/>
      <c r="F43" s="29" t="s">
        <v>186</v>
      </c>
      <c r="G43" s="23"/>
      <c r="H43" s="23"/>
      <c r="I43" s="23"/>
      <c r="J43" s="23"/>
      <c r="K43" s="23"/>
      <c r="L43" s="23"/>
      <c r="M43" s="23"/>
      <c r="N43" s="23"/>
      <c r="O43" s="23"/>
      <c r="P43" s="33" t="str">
        <f t="shared" si="11"/>
        <v>0</v>
      </c>
      <c r="Q43" s="33" t="str">
        <f t="shared" si="12"/>
        <v>0</v>
      </c>
      <c r="R43" s="33" t="str">
        <f t="shared" si="13"/>
        <v>0</v>
      </c>
      <c r="S43" s="33" t="str">
        <f t="shared" si="14"/>
        <v>0</v>
      </c>
      <c r="T43" s="29" t="s">
        <v>67</v>
      </c>
      <c r="U43" s="29" t="s">
        <v>67</v>
      </c>
      <c r="V43" s="29" t="s">
        <v>67</v>
      </c>
      <c r="W43" s="29" t="s">
        <v>67</v>
      </c>
      <c r="X43" s="29" t="s">
        <v>67</v>
      </c>
      <c r="Y43" s="29" t="s">
        <v>67</v>
      </c>
      <c r="Z43" s="29" t="s">
        <v>67</v>
      </c>
      <c r="AA43" s="29">
        <v>0.0</v>
      </c>
      <c r="AB43" s="29" t="s">
        <v>67</v>
      </c>
      <c r="AC43" s="29" t="s">
        <v>67</v>
      </c>
      <c r="AD43" s="34" t="str">
        <f t="shared" si="5"/>
        <v>0</v>
      </c>
      <c r="AE43" s="29" t="s">
        <v>67</v>
      </c>
      <c r="AF43" s="29" t="s">
        <v>67</v>
      </c>
      <c r="AG43" s="29" t="s">
        <v>67</v>
      </c>
      <c r="AH43" s="29" t="s">
        <v>67</v>
      </c>
      <c r="AI43" s="29" t="s">
        <v>67</v>
      </c>
      <c r="AJ43" s="34" t="str">
        <f t="shared" si="6"/>
        <v>0</v>
      </c>
      <c r="AK43" s="29" t="s">
        <v>67</v>
      </c>
      <c r="AL43" s="29" t="s">
        <v>67</v>
      </c>
      <c r="AM43" s="29" t="s">
        <v>67</v>
      </c>
      <c r="AN43" s="29" t="s">
        <v>67</v>
      </c>
      <c r="AO43" s="29" t="s">
        <v>67</v>
      </c>
      <c r="AP43" s="29" t="s">
        <v>67</v>
      </c>
      <c r="AQ43" s="29">
        <v>0.0</v>
      </c>
      <c r="AR43" s="29" t="s">
        <v>67</v>
      </c>
      <c r="AS43" s="29" t="s">
        <v>67</v>
      </c>
      <c r="AT43" s="29" t="s">
        <v>67</v>
      </c>
      <c r="AU43" s="29" t="s">
        <v>67</v>
      </c>
      <c r="AV43" s="29" t="s">
        <v>67</v>
      </c>
      <c r="AW43" s="29" t="s">
        <v>67</v>
      </c>
      <c r="AX43" s="29" t="s">
        <v>67</v>
      </c>
      <c r="AY43" s="29" t="s">
        <v>67</v>
      </c>
      <c r="AZ43" s="29" t="s">
        <v>67</v>
      </c>
      <c r="BA43" s="29" t="s">
        <v>67</v>
      </c>
      <c r="BB43" s="29" t="s">
        <v>67</v>
      </c>
      <c r="BC43" s="29" t="s">
        <v>67</v>
      </c>
      <c r="BD43" s="29" t="s">
        <v>67</v>
      </c>
      <c r="BE43" s="29" t="s">
        <v>67</v>
      </c>
      <c r="BF43" s="29" t="s">
        <v>67</v>
      </c>
      <c r="BG43" s="29" t="s">
        <v>67</v>
      </c>
      <c r="BH43" s="29" t="s">
        <v>67</v>
      </c>
      <c r="BI43" s="29" t="s">
        <v>67</v>
      </c>
      <c r="BJ43" s="29" t="s">
        <v>67</v>
      </c>
      <c r="BK43" s="29" t="s">
        <v>67</v>
      </c>
      <c r="BL43" s="29" t="s">
        <v>67</v>
      </c>
      <c r="BM43" s="29" t="s">
        <v>67</v>
      </c>
      <c r="BN43" s="34" t="str">
        <f t="shared" si="7"/>
        <v>0</v>
      </c>
    </row>
    <row r="44" ht="15.75" customHeight="1">
      <c r="A44" s="31">
        <v>20.0</v>
      </c>
      <c r="B44" s="25" t="s">
        <v>187</v>
      </c>
      <c r="C44" s="26" t="s">
        <v>146</v>
      </c>
      <c r="D44" s="27" t="s">
        <v>175</v>
      </c>
      <c r="E44" s="28">
        <v>3130.0</v>
      </c>
      <c r="F44" s="29" t="s">
        <v>188</v>
      </c>
      <c r="G44" s="28">
        <v>7.0</v>
      </c>
      <c r="H44" s="28" t="s">
        <v>189</v>
      </c>
      <c r="I44" s="28" t="s">
        <v>190</v>
      </c>
      <c r="J44" s="28">
        <v>921.0</v>
      </c>
      <c r="K44" s="28">
        <v>497.0</v>
      </c>
      <c r="L44" s="31">
        <v>135.0</v>
      </c>
      <c r="M44" s="31">
        <v>30.0</v>
      </c>
      <c r="N44" s="31">
        <v>9.0</v>
      </c>
      <c r="O44" s="31"/>
      <c r="P44" s="33" t="str">
        <f t="shared" si="11"/>
        <v>3</v>
      </c>
      <c r="Q44" s="33" t="str">
        <f t="shared" si="12"/>
        <v>3</v>
      </c>
      <c r="R44" s="33" t="str">
        <f t="shared" si="13"/>
        <v>0</v>
      </c>
      <c r="S44" s="33" t="str">
        <f t="shared" si="14"/>
        <v>0</v>
      </c>
      <c r="T44" s="29">
        <v>2.0</v>
      </c>
      <c r="U44" s="29">
        <v>0.0</v>
      </c>
      <c r="V44" s="29">
        <v>0.0</v>
      </c>
      <c r="W44" s="29">
        <v>1.0</v>
      </c>
      <c r="X44" s="29">
        <v>0.0</v>
      </c>
      <c r="Y44" s="29">
        <v>0.0</v>
      </c>
      <c r="Z44" s="29">
        <v>0.0</v>
      </c>
      <c r="AA44" s="29" t="s">
        <v>67</v>
      </c>
      <c r="AB44" s="29" t="s">
        <v>67</v>
      </c>
      <c r="AC44" s="29" t="s">
        <v>67</v>
      </c>
      <c r="AD44" s="34" t="str">
        <f t="shared" si="5"/>
        <v>3</v>
      </c>
      <c r="AE44" s="29">
        <v>0.0</v>
      </c>
      <c r="AF44" s="29">
        <v>0.0</v>
      </c>
      <c r="AG44" s="29">
        <v>0.0</v>
      </c>
      <c r="AH44" s="29">
        <v>0.0</v>
      </c>
      <c r="AI44" s="29">
        <v>0.0</v>
      </c>
      <c r="AJ44" s="34" t="str">
        <f t="shared" si="6"/>
        <v>0</v>
      </c>
      <c r="AK44" s="29">
        <v>0.0</v>
      </c>
      <c r="AL44" s="29">
        <v>0.0</v>
      </c>
      <c r="AM44" s="29">
        <v>0.0</v>
      </c>
      <c r="AN44" s="29">
        <v>0.0</v>
      </c>
      <c r="AO44" s="29">
        <v>0.0</v>
      </c>
      <c r="AP44" s="29" t="s">
        <v>67</v>
      </c>
      <c r="AQ44" s="29" t="s">
        <v>67</v>
      </c>
      <c r="AR44" s="29" t="s">
        <v>67</v>
      </c>
      <c r="AS44" s="29" t="s">
        <v>67</v>
      </c>
      <c r="AT44" s="29" t="s">
        <v>67</v>
      </c>
      <c r="AU44" s="29" t="s">
        <v>67</v>
      </c>
      <c r="AV44" s="29" t="s">
        <v>67</v>
      </c>
      <c r="AW44" s="29" t="s">
        <v>67</v>
      </c>
      <c r="AX44" s="29" t="s">
        <v>67</v>
      </c>
      <c r="AY44" s="29" t="s">
        <v>67</v>
      </c>
      <c r="AZ44" s="29" t="s">
        <v>67</v>
      </c>
      <c r="BA44" s="29" t="s">
        <v>67</v>
      </c>
      <c r="BB44" s="29" t="s">
        <v>67</v>
      </c>
      <c r="BC44" s="29" t="s">
        <v>67</v>
      </c>
      <c r="BD44" s="29" t="s">
        <v>67</v>
      </c>
      <c r="BE44" s="29" t="s">
        <v>67</v>
      </c>
      <c r="BF44" s="29">
        <v>0.0</v>
      </c>
      <c r="BG44" s="29">
        <v>0.0</v>
      </c>
      <c r="BH44" s="29" t="s">
        <v>67</v>
      </c>
      <c r="BI44" s="29" t="s">
        <v>67</v>
      </c>
      <c r="BJ44" s="29" t="s">
        <v>67</v>
      </c>
      <c r="BK44" s="29" t="s">
        <v>67</v>
      </c>
      <c r="BL44" s="29" t="s">
        <v>67</v>
      </c>
      <c r="BM44" s="29" t="s">
        <v>67</v>
      </c>
      <c r="BN44" s="34" t="str">
        <f t="shared" si="7"/>
        <v>0</v>
      </c>
    </row>
    <row r="45" ht="15.75" customHeight="1">
      <c r="A45" s="11"/>
      <c r="B45" s="11"/>
      <c r="C45" s="11"/>
      <c r="D45" s="11"/>
      <c r="E45" s="11"/>
      <c r="F45" s="29" t="s">
        <v>191</v>
      </c>
      <c r="G45" s="11"/>
      <c r="H45" s="11"/>
      <c r="I45" s="11"/>
      <c r="J45" s="11"/>
      <c r="K45" s="11"/>
      <c r="L45" s="11"/>
      <c r="M45" s="11"/>
      <c r="N45" s="11"/>
      <c r="O45" s="11"/>
      <c r="P45" s="33" t="str">
        <f t="shared" si="11"/>
        <v>7</v>
      </c>
      <c r="Q45" s="33" t="str">
        <f t="shared" si="12"/>
        <v>3</v>
      </c>
      <c r="R45" s="33" t="str">
        <f t="shared" si="13"/>
        <v>2</v>
      </c>
      <c r="S45" s="33" t="str">
        <f t="shared" si="14"/>
        <v>2</v>
      </c>
      <c r="T45" s="29">
        <v>2.0</v>
      </c>
      <c r="U45" s="29">
        <v>0.0</v>
      </c>
      <c r="V45" s="29">
        <v>1.0</v>
      </c>
      <c r="W45" s="29">
        <v>0.0</v>
      </c>
      <c r="X45" s="29">
        <v>0.0</v>
      </c>
      <c r="Y45" s="29">
        <v>0.0</v>
      </c>
      <c r="Z45" s="29">
        <v>0.0</v>
      </c>
      <c r="AA45" s="29" t="s">
        <v>67</v>
      </c>
      <c r="AB45" s="29" t="s">
        <v>67</v>
      </c>
      <c r="AC45" s="29" t="s">
        <v>67</v>
      </c>
      <c r="AD45" s="34" t="str">
        <f t="shared" si="5"/>
        <v>3</v>
      </c>
      <c r="AE45" s="29">
        <v>2.0</v>
      </c>
      <c r="AF45" s="29">
        <v>0.0</v>
      </c>
      <c r="AG45" s="29">
        <v>0.0</v>
      </c>
      <c r="AH45" s="29">
        <v>0.0</v>
      </c>
      <c r="AI45" s="29">
        <v>0.0</v>
      </c>
      <c r="AJ45" s="34" t="str">
        <f t="shared" si="6"/>
        <v>2</v>
      </c>
      <c r="AK45" s="29">
        <v>0.0</v>
      </c>
      <c r="AL45" s="29">
        <v>0.0</v>
      </c>
      <c r="AM45" s="29">
        <v>1.0</v>
      </c>
      <c r="AN45" s="29">
        <v>0.0</v>
      </c>
      <c r="AO45" s="29">
        <v>0.0</v>
      </c>
      <c r="AP45" s="29" t="s">
        <v>67</v>
      </c>
      <c r="AQ45" s="29" t="s">
        <v>67</v>
      </c>
      <c r="AR45" s="29" t="s">
        <v>67</v>
      </c>
      <c r="AS45" s="29" t="s">
        <v>67</v>
      </c>
      <c r="AT45" s="29" t="s">
        <v>67</v>
      </c>
      <c r="AU45" s="29" t="s">
        <v>67</v>
      </c>
      <c r="AV45" s="29" t="s">
        <v>67</v>
      </c>
      <c r="AW45" s="29" t="s">
        <v>67</v>
      </c>
      <c r="AX45" s="29" t="s">
        <v>67</v>
      </c>
      <c r="AY45" s="29" t="s">
        <v>67</v>
      </c>
      <c r="AZ45" s="29" t="s">
        <v>67</v>
      </c>
      <c r="BA45" s="29" t="s">
        <v>67</v>
      </c>
      <c r="BB45" s="29" t="s">
        <v>67</v>
      </c>
      <c r="BC45" s="29" t="s">
        <v>67</v>
      </c>
      <c r="BD45" s="29" t="s">
        <v>67</v>
      </c>
      <c r="BE45" s="29" t="s">
        <v>67</v>
      </c>
      <c r="BF45" s="29">
        <v>1.0</v>
      </c>
      <c r="BG45" s="29">
        <v>0.0</v>
      </c>
      <c r="BH45" s="29" t="s">
        <v>67</v>
      </c>
      <c r="BI45" s="29" t="s">
        <v>67</v>
      </c>
      <c r="BJ45" s="29" t="s">
        <v>67</v>
      </c>
      <c r="BK45" s="29" t="s">
        <v>67</v>
      </c>
      <c r="BL45" s="29" t="s">
        <v>67</v>
      </c>
      <c r="BM45" s="29" t="s">
        <v>67</v>
      </c>
      <c r="BN45" s="34" t="str">
        <f t="shared" si="7"/>
        <v>2</v>
      </c>
    </row>
    <row r="46" ht="15.75" customHeight="1">
      <c r="A46" s="23"/>
      <c r="B46" s="11"/>
      <c r="C46" s="23"/>
      <c r="D46" s="23"/>
      <c r="E46" s="23"/>
      <c r="F46" s="29" t="s">
        <v>192</v>
      </c>
      <c r="G46" s="23"/>
      <c r="H46" s="23"/>
      <c r="I46" s="23"/>
      <c r="J46" s="23"/>
      <c r="K46" s="23"/>
      <c r="L46" s="23"/>
      <c r="M46" s="23"/>
      <c r="N46" s="23"/>
      <c r="O46" s="23"/>
      <c r="P46" s="33" t="str">
        <f t="shared" si="11"/>
        <v>0</v>
      </c>
      <c r="Q46" s="33" t="str">
        <f t="shared" si="12"/>
        <v>0</v>
      </c>
      <c r="R46" s="33" t="str">
        <f t="shared" si="13"/>
        <v>0</v>
      </c>
      <c r="S46" s="33" t="str">
        <f t="shared" si="14"/>
        <v>0</v>
      </c>
      <c r="T46" s="29">
        <v>0.0</v>
      </c>
      <c r="U46" s="29">
        <v>0.0</v>
      </c>
      <c r="V46" s="29">
        <v>0.0</v>
      </c>
      <c r="W46" s="29">
        <v>0.0</v>
      </c>
      <c r="X46" s="29">
        <v>0.0</v>
      </c>
      <c r="Y46" s="29">
        <v>0.0</v>
      </c>
      <c r="Z46" s="29">
        <v>0.0</v>
      </c>
      <c r="AA46" s="29" t="s">
        <v>67</v>
      </c>
      <c r="AB46" s="29" t="s">
        <v>67</v>
      </c>
      <c r="AC46" s="29" t="s">
        <v>67</v>
      </c>
      <c r="AD46" s="34" t="str">
        <f t="shared" si="5"/>
        <v>0</v>
      </c>
      <c r="AE46" s="29">
        <v>0.0</v>
      </c>
      <c r="AF46" s="29">
        <v>0.0</v>
      </c>
      <c r="AG46" s="29">
        <v>0.0</v>
      </c>
      <c r="AH46" s="29">
        <v>0.0</v>
      </c>
      <c r="AI46" s="29">
        <v>0.0</v>
      </c>
      <c r="AJ46" s="34" t="str">
        <f t="shared" si="6"/>
        <v>0</v>
      </c>
      <c r="AK46" s="29">
        <v>0.0</v>
      </c>
      <c r="AL46" s="29">
        <v>0.0</v>
      </c>
      <c r="AM46" s="29">
        <v>0.0</v>
      </c>
      <c r="AN46" s="29">
        <v>0.0</v>
      </c>
      <c r="AO46" s="29">
        <v>0.0</v>
      </c>
      <c r="AP46" s="29" t="s">
        <v>67</v>
      </c>
      <c r="AQ46" s="29" t="s">
        <v>67</v>
      </c>
      <c r="AR46" s="29" t="s">
        <v>67</v>
      </c>
      <c r="AS46" s="29" t="s">
        <v>67</v>
      </c>
      <c r="AT46" s="29" t="s">
        <v>67</v>
      </c>
      <c r="AU46" s="29" t="s">
        <v>67</v>
      </c>
      <c r="AV46" s="29" t="s">
        <v>67</v>
      </c>
      <c r="AW46" s="29" t="s">
        <v>67</v>
      </c>
      <c r="AX46" s="29" t="s">
        <v>67</v>
      </c>
      <c r="AY46" s="29" t="s">
        <v>67</v>
      </c>
      <c r="AZ46" s="29" t="s">
        <v>67</v>
      </c>
      <c r="BA46" s="29" t="s">
        <v>67</v>
      </c>
      <c r="BB46" s="29" t="s">
        <v>67</v>
      </c>
      <c r="BC46" s="29" t="s">
        <v>67</v>
      </c>
      <c r="BD46" s="29" t="s">
        <v>67</v>
      </c>
      <c r="BE46" s="29" t="s">
        <v>67</v>
      </c>
      <c r="BF46" s="29">
        <v>0.0</v>
      </c>
      <c r="BG46" s="29">
        <v>0.0</v>
      </c>
      <c r="BH46" s="29" t="s">
        <v>67</v>
      </c>
      <c r="BI46" s="29" t="s">
        <v>67</v>
      </c>
      <c r="BJ46" s="29" t="s">
        <v>67</v>
      </c>
      <c r="BK46" s="29" t="s">
        <v>67</v>
      </c>
      <c r="BL46" s="29" t="s">
        <v>67</v>
      </c>
      <c r="BM46" s="29" t="s">
        <v>67</v>
      </c>
      <c r="BN46" s="34" t="str">
        <f t="shared" si="7"/>
        <v>0</v>
      </c>
    </row>
    <row r="47" ht="15.75" customHeight="1">
      <c r="A47" s="38">
        <v>21.0</v>
      </c>
      <c r="B47" s="25" t="s">
        <v>193</v>
      </c>
      <c r="C47" s="58" t="s">
        <v>194</v>
      </c>
      <c r="D47" s="53" t="s">
        <v>195</v>
      </c>
      <c r="E47" s="38">
        <v>3130.0</v>
      </c>
      <c r="F47" s="38" t="s">
        <v>196</v>
      </c>
      <c r="G47" s="38">
        <v>5.5</v>
      </c>
      <c r="H47" s="38" t="s">
        <v>197</v>
      </c>
      <c r="I47" s="29" t="s">
        <v>109</v>
      </c>
      <c r="J47" s="38">
        <v>1534.0</v>
      </c>
      <c r="K47" s="38">
        <v>400.0</v>
      </c>
      <c r="L47" s="38">
        <v>275.0</v>
      </c>
      <c r="M47" s="38">
        <v>42.0</v>
      </c>
      <c r="N47" s="38"/>
      <c r="O47" s="38"/>
      <c r="P47" s="33" t="str">
        <f t="shared" si="11"/>
        <v>6</v>
      </c>
      <c r="Q47" s="33" t="str">
        <f t="shared" si="12"/>
        <v>4</v>
      </c>
      <c r="R47" s="33" t="str">
        <f t="shared" si="13"/>
        <v>0</v>
      </c>
      <c r="S47" s="33" t="str">
        <f t="shared" si="14"/>
        <v>2</v>
      </c>
      <c r="T47" s="38">
        <v>2.0</v>
      </c>
      <c r="U47" s="38">
        <v>2.0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 t="s">
        <v>67</v>
      </c>
      <c r="AB47" s="38" t="s">
        <v>67</v>
      </c>
      <c r="AC47" s="38" t="s">
        <v>67</v>
      </c>
      <c r="AD47" s="34" t="str">
        <f t="shared" si="5"/>
        <v>4</v>
      </c>
      <c r="AE47" s="38">
        <v>0.0</v>
      </c>
      <c r="AF47" s="38">
        <v>0.0</v>
      </c>
      <c r="AG47" s="38">
        <v>0.0</v>
      </c>
      <c r="AH47" s="38">
        <v>0.0</v>
      </c>
      <c r="AI47" s="38">
        <v>0.0</v>
      </c>
      <c r="AJ47" s="34" t="str">
        <f t="shared" si="6"/>
        <v>0</v>
      </c>
      <c r="AK47" s="38">
        <v>2.0</v>
      </c>
      <c r="AL47" s="38">
        <v>0.0</v>
      </c>
      <c r="AM47" s="38">
        <v>0.0</v>
      </c>
      <c r="AN47" s="38">
        <v>0.0</v>
      </c>
      <c r="AO47" s="38">
        <v>0.0</v>
      </c>
      <c r="AP47" s="29" t="s">
        <v>67</v>
      </c>
      <c r="AQ47" s="38" t="s">
        <v>67</v>
      </c>
      <c r="AR47" s="38" t="s">
        <v>67</v>
      </c>
      <c r="AS47" s="38">
        <v>0.0</v>
      </c>
      <c r="AT47" s="38" t="s">
        <v>67</v>
      </c>
      <c r="AU47" s="38" t="s">
        <v>67</v>
      </c>
      <c r="AV47" s="38" t="s">
        <v>67</v>
      </c>
      <c r="AW47" s="38" t="s">
        <v>67</v>
      </c>
      <c r="AX47" s="38" t="s">
        <v>67</v>
      </c>
      <c r="AY47" s="38" t="s">
        <v>67</v>
      </c>
      <c r="AZ47" s="38" t="s">
        <v>67</v>
      </c>
      <c r="BA47" s="38" t="s">
        <v>67</v>
      </c>
      <c r="BB47" s="38" t="s">
        <v>67</v>
      </c>
      <c r="BC47" s="38" t="s">
        <v>67</v>
      </c>
      <c r="BD47" s="38" t="s">
        <v>67</v>
      </c>
      <c r="BE47" s="38" t="s">
        <v>67</v>
      </c>
      <c r="BF47" s="38">
        <v>0.0</v>
      </c>
      <c r="BG47" s="38" t="s">
        <v>67</v>
      </c>
      <c r="BH47" s="38" t="s">
        <v>67</v>
      </c>
      <c r="BI47" s="38" t="s">
        <v>67</v>
      </c>
      <c r="BJ47" s="38" t="s">
        <v>67</v>
      </c>
      <c r="BK47" s="38" t="s">
        <v>67</v>
      </c>
      <c r="BL47" s="38" t="s">
        <v>67</v>
      </c>
      <c r="BM47" s="38" t="s">
        <v>67</v>
      </c>
      <c r="BN47" s="34" t="str">
        <f t="shared" si="7"/>
        <v>2</v>
      </c>
    </row>
    <row r="48" ht="15.75" customHeight="1">
      <c r="A48" s="38">
        <v>22.0</v>
      </c>
      <c r="B48" s="25" t="s">
        <v>198</v>
      </c>
      <c r="C48" s="58" t="s">
        <v>199</v>
      </c>
      <c r="D48" s="53" t="s">
        <v>195</v>
      </c>
      <c r="E48" s="38">
        <v>3130.0</v>
      </c>
      <c r="F48" s="38" t="s">
        <v>200</v>
      </c>
      <c r="G48" s="38">
        <v>3.0</v>
      </c>
      <c r="H48" s="38" t="s">
        <v>201</v>
      </c>
      <c r="I48" s="29" t="s">
        <v>202</v>
      </c>
      <c r="J48" s="38">
        <v>118.0</v>
      </c>
      <c r="K48" s="38">
        <v>32.0</v>
      </c>
      <c r="L48" s="38">
        <v>32.0</v>
      </c>
      <c r="M48" s="38">
        <v>9.0</v>
      </c>
      <c r="N48" s="38"/>
      <c r="O48" s="38"/>
      <c r="P48" s="33" t="str">
        <f t="shared" si="11"/>
        <v>0</v>
      </c>
      <c r="Q48" s="33" t="str">
        <f t="shared" si="12"/>
        <v>0</v>
      </c>
      <c r="R48" s="33" t="str">
        <f t="shared" si="13"/>
        <v>0</v>
      </c>
      <c r="S48" s="33" t="str">
        <f t="shared" si="14"/>
        <v>0</v>
      </c>
      <c r="T48" s="38" t="s">
        <v>67</v>
      </c>
      <c r="U48" s="38" t="s">
        <v>67</v>
      </c>
      <c r="V48" s="38" t="s">
        <v>67</v>
      </c>
      <c r="W48" s="38" t="s">
        <v>67</v>
      </c>
      <c r="X48" s="38" t="s">
        <v>67</v>
      </c>
      <c r="Y48" s="38" t="s">
        <v>67</v>
      </c>
      <c r="Z48" s="38" t="s">
        <v>67</v>
      </c>
      <c r="AA48" s="38" t="s">
        <v>67</v>
      </c>
      <c r="AB48" s="38" t="s">
        <v>67</v>
      </c>
      <c r="AC48" s="38" t="s">
        <v>67</v>
      </c>
      <c r="AD48" s="34" t="str">
        <f t="shared" si="5"/>
        <v>0</v>
      </c>
      <c r="AE48" s="38" t="s">
        <v>67</v>
      </c>
      <c r="AF48" s="38" t="s">
        <v>67</v>
      </c>
      <c r="AG48" s="38" t="s">
        <v>67</v>
      </c>
      <c r="AH48" s="38" t="s">
        <v>67</v>
      </c>
      <c r="AI48" s="38" t="s">
        <v>67</v>
      </c>
      <c r="AJ48" s="34" t="str">
        <f t="shared" si="6"/>
        <v>0</v>
      </c>
      <c r="AK48" s="38" t="s">
        <v>67</v>
      </c>
      <c r="AL48" s="38" t="s">
        <v>67</v>
      </c>
      <c r="AM48" s="38" t="s">
        <v>67</v>
      </c>
      <c r="AN48" s="38" t="s">
        <v>67</v>
      </c>
      <c r="AO48" s="38" t="s">
        <v>67</v>
      </c>
      <c r="AP48" s="29" t="s">
        <v>67</v>
      </c>
      <c r="AQ48" s="38" t="s">
        <v>67</v>
      </c>
      <c r="AR48" s="38" t="s">
        <v>67</v>
      </c>
      <c r="AS48" s="38" t="s">
        <v>67</v>
      </c>
      <c r="AT48" s="38" t="s">
        <v>67</v>
      </c>
      <c r="AU48" s="38" t="s">
        <v>67</v>
      </c>
      <c r="AV48" s="38" t="s">
        <v>67</v>
      </c>
      <c r="AW48" s="38" t="s">
        <v>67</v>
      </c>
      <c r="AX48" s="38" t="s">
        <v>67</v>
      </c>
      <c r="AY48" s="38" t="s">
        <v>67</v>
      </c>
      <c r="AZ48" s="38" t="s">
        <v>67</v>
      </c>
      <c r="BA48" s="38" t="s">
        <v>67</v>
      </c>
      <c r="BB48" s="38" t="s">
        <v>67</v>
      </c>
      <c r="BC48" s="38" t="s">
        <v>67</v>
      </c>
      <c r="BD48" s="38" t="s">
        <v>67</v>
      </c>
      <c r="BE48" s="38" t="s">
        <v>67</v>
      </c>
      <c r="BF48" s="38">
        <v>0.0</v>
      </c>
      <c r="BG48" s="38">
        <v>0.0</v>
      </c>
      <c r="BH48" s="38" t="s">
        <v>67</v>
      </c>
      <c r="BI48" s="38" t="s">
        <v>67</v>
      </c>
      <c r="BJ48" s="38" t="s">
        <v>67</v>
      </c>
      <c r="BK48" s="38" t="s">
        <v>67</v>
      </c>
      <c r="BL48" s="38" t="s">
        <v>67</v>
      </c>
      <c r="BM48" s="38" t="s">
        <v>67</v>
      </c>
      <c r="BN48" s="34" t="str">
        <f t="shared" si="7"/>
        <v>0</v>
      </c>
    </row>
    <row r="49" ht="15.75" customHeight="1">
      <c r="A49" s="38">
        <v>23.0</v>
      </c>
      <c r="B49" s="25" t="s">
        <v>203</v>
      </c>
      <c r="C49" s="58" t="s">
        <v>204</v>
      </c>
      <c r="D49" s="53" t="s">
        <v>205</v>
      </c>
      <c r="E49" s="38">
        <v>3130.0</v>
      </c>
      <c r="F49" s="38" t="s">
        <v>206</v>
      </c>
      <c r="G49" s="38">
        <v>5.0</v>
      </c>
      <c r="H49" s="38" t="s">
        <v>207</v>
      </c>
      <c r="I49" s="29" t="s">
        <v>208</v>
      </c>
      <c r="J49" s="38">
        <v>1282.0</v>
      </c>
      <c r="K49" s="38">
        <v>821.0</v>
      </c>
      <c r="L49" s="38">
        <v>556.0</v>
      </c>
      <c r="M49" s="38">
        <v>89.0</v>
      </c>
      <c r="N49" s="38"/>
      <c r="O49" s="38"/>
      <c r="P49" s="33" t="str">
        <f t="shared" si="11"/>
        <v>19</v>
      </c>
      <c r="Q49" s="33" t="str">
        <f t="shared" si="12"/>
        <v>11</v>
      </c>
      <c r="R49" s="33" t="str">
        <f t="shared" si="13"/>
        <v>6</v>
      </c>
      <c r="S49" s="33" t="str">
        <f t="shared" si="14"/>
        <v>2</v>
      </c>
      <c r="T49" s="38">
        <v>8.0</v>
      </c>
      <c r="U49" s="38">
        <v>0.0</v>
      </c>
      <c r="V49" s="38">
        <v>0.0</v>
      </c>
      <c r="W49" s="38">
        <v>2.0</v>
      </c>
      <c r="X49" s="38">
        <v>1.0</v>
      </c>
      <c r="Y49" s="38">
        <v>0.0</v>
      </c>
      <c r="Z49" s="38">
        <v>0.0</v>
      </c>
      <c r="AA49" s="38" t="s">
        <v>67</v>
      </c>
      <c r="AB49" s="38" t="s">
        <v>67</v>
      </c>
      <c r="AC49" s="38" t="s">
        <v>67</v>
      </c>
      <c r="AD49" s="34" t="str">
        <f t="shared" si="5"/>
        <v>11</v>
      </c>
      <c r="AE49" s="38">
        <v>3.0</v>
      </c>
      <c r="AF49" s="38">
        <v>1.0</v>
      </c>
      <c r="AG49" s="38">
        <v>1.0</v>
      </c>
      <c r="AH49" s="38">
        <v>1.0</v>
      </c>
      <c r="AI49" s="38">
        <v>0.0</v>
      </c>
      <c r="AJ49" s="34" t="str">
        <f t="shared" si="6"/>
        <v>6</v>
      </c>
      <c r="AK49" s="38">
        <v>0.0</v>
      </c>
      <c r="AL49" s="38">
        <v>1.0</v>
      </c>
      <c r="AM49" s="38">
        <v>1.0</v>
      </c>
      <c r="AN49" s="38">
        <v>0.0</v>
      </c>
      <c r="AO49" s="38">
        <v>0.0</v>
      </c>
      <c r="AP49" s="29" t="s">
        <v>67</v>
      </c>
      <c r="AQ49" s="38" t="s">
        <v>67</v>
      </c>
      <c r="AR49" s="38" t="s">
        <v>67</v>
      </c>
      <c r="AS49" s="38">
        <v>0.0</v>
      </c>
      <c r="AT49" s="38" t="s">
        <v>67</v>
      </c>
      <c r="AU49" s="38" t="s">
        <v>67</v>
      </c>
      <c r="AV49" s="38" t="s">
        <v>67</v>
      </c>
      <c r="AW49" s="38" t="s">
        <v>67</v>
      </c>
      <c r="AX49" s="38" t="s">
        <v>67</v>
      </c>
      <c r="AY49" s="38" t="s">
        <v>67</v>
      </c>
      <c r="AZ49" s="38" t="s">
        <v>67</v>
      </c>
      <c r="BA49" s="38" t="s">
        <v>67</v>
      </c>
      <c r="BB49" s="38" t="s">
        <v>67</v>
      </c>
      <c r="BC49" s="38" t="s">
        <v>67</v>
      </c>
      <c r="BD49" s="38" t="s">
        <v>67</v>
      </c>
      <c r="BE49" s="38" t="s">
        <v>67</v>
      </c>
      <c r="BF49" s="38">
        <v>0.0</v>
      </c>
      <c r="BG49" s="38">
        <v>0.0</v>
      </c>
      <c r="BH49" s="38" t="s">
        <v>67</v>
      </c>
      <c r="BI49" s="38" t="s">
        <v>67</v>
      </c>
      <c r="BJ49" s="38" t="s">
        <v>67</v>
      </c>
      <c r="BK49" s="38" t="s">
        <v>67</v>
      </c>
      <c r="BL49" s="38" t="s">
        <v>67</v>
      </c>
      <c r="BM49" s="38" t="s">
        <v>67</v>
      </c>
      <c r="BN49" s="34" t="str">
        <f t="shared" si="7"/>
        <v>2</v>
      </c>
    </row>
    <row r="50" ht="15.75" customHeight="1">
      <c r="A50" s="38">
        <v>24.0</v>
      </c>
      <c r="B50" s="25" t="s">
        <v>209</v>
      </c>
      <c r="C50" s="58" t="s">
        <v>210</v>
      </c>
      <c r="D50" s="53" t="s">
        <v>211</v>
      </c>
      <c r="E50" s="38">
        <v>3130.0</v>
      </c>
      <c r="F50" s="38" t="s">
        <v>212</v>
      </c>
      <c r="G50" s="38">
        <v>4.5</v>
      </c>
      <c r="H50" s="38" t="s">
        <v>197</v>
      </c>
      <c r="I50" s="29" t="s">
        <v>213</v>
      </c>
      <c r="J50" s="38">
        <v>537.0</v>
      </c>
      <c r="K50" s="38">
        <v>153.0</v>
      </c>
      <c r="L50" s="38">
        <v>104.0</v>
      </c>
      <c r="M50" s="38"/>
      <c r="N50" s="38"/>
      <c r="O50" s="38"/>
      <c r="P50" s="33" t="s">
        <v>88</v>
      </c>
      <c r="Q50" s="33" t="str">
        <f t="shared" si="12"/>
        <v>0</v>
      </c>
      <c r="R50" s="33" t="str">
        <f t="shared" si="13"/>
        <v>0</v>
      </c>
      <c r="S50" s="33" t="str">
        <f t="shared" si="14"/>
        <v>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8" t="s">
        <v>67</v>
      </c>
      <c r="AB50" s="38" t="s">
        <v>67</v>
      </c>
      <c r="AC50" s="38" t="s">
        <v>67</v>
      </c>
      <c r="AD50" s="34" t="str">
        <f t="shared" si="5"/>
        <v>0</v>
      </c>
      <c r="AE50" s="38">
        <v>0.0</v>
      </c>
      <c r="AF50" s="38">
        <v>0.0</v>
      </c>
      <c r="AG50" s="38">
        <v>0.0</v>
      </c>
      <c r="AH50" s="38">
        <v>0.0</v>
      </c>
      <c r="AI50" s="38">
        <v>0.0</v>
      </c>
      <c r="AJ50" s="34" t="str">
        <f t="shared" si="6"/>
        <v>0</v>
      </c>
      <c r="AK50" s="38">
        <v>0.0</v>
      </c>
      <c r="AL50" s="38">
        <v>0.0</v>
      </c>
      <c r="AM50" s="38">
        <v>0.0</v>
      </c>
      <c r="AN50" s="38">
        <v>0.0</v>
      </c>
      <c r="AO50" s="38">
        <v>0.0</v>
      </c>
      <c r="AP50" s="29" t="s">
        <v>67</v>
      </c>
      <c r="AQ50" s="38" t="s">
        <v>67</v>
      </c>
      <c r="AR50" s="38" t="s">
        <v>67</v>
      </c>
      <c r="AS50" s="38">
        <v>0.0</v>
      </c>
      <c r="AT50" s="38" t="s">
        <v>67</v>
      </c>
      <c r="AU50" s="38" t="s">
        <v>67</v>
      </c>
      <c r="AV50" s="38" t="s">
        <v>67</v>
      </c>
      <c r="AW50" s="38" t="s">
        <v>67</v>
      </c>
      <c r="AX50" s="38" t="s">
        <v>67</v>
      </c>
      <c r="AY50" s="38" t="s">
        <v>67</v>
      </c>
      <c r="AZ50" s="38" t="s">
        <v>67</v>
      </c>
      <c r="BA50" s="38" t="s">
        <v>67</v>
      </c>
      <c r="BB50" s="38" t="s">
        <v>67</v>
      </c>
      <c r="BC50" s="38" t="s">
        <v>67</v>
      </c>
      <c r="BD50" s="38" t="s">
        <v>67</v>
      </c>
      <c r="BE50" s="38" t="s">
        <v>67</v>
      </c>
      <c r="BF50" s="38">
        <v>0.0</v>
      </c>
      <c r="BG50" s="38" t="s">
        <v>67</v>
      </c>
      <c r="BH50" s="38" t="s">
        <v>67</v>
      </c>
      <c r="BI50" s="38" t="s">
        <v>67</v>
      </c>
      <c r="BJ50" s="38" t="s">
        <v>67</v>
      </c>
      <c r="BK50" s="38" t="s">
        <v>67</v>
      </c>
      <c r="BL50" s="38" t="s">
        <v>67</v>
      </c>
      <c r="BM50" s="38" t="s">
        <v>67</v>
      </c>
      <c r="BN50" s="34" t="str">
        <f t="shared" si="7"/>
        <v>0</v>
      </c>
    </row>
    <row r="51" ht="15.75" customHeight="1">
      <c r="A51" s="38">
        <v>25.0</v>
      </c>
      <c r="B51" s="25" t="s">
        <v>214</v>
      </c>
      <c r="C51" s="58" t="s">
        <v>215</v>
      </c>
      <c r="D51" s="53" t="s">
        <v>211</v>
      </c>
      <c r="E51" s="38">
        <v>3130.0</v>
      </c>
      <c r="F51" s="38" t="s">
        <v>216</v>
      </c>
      <c r="G51" s="38">
        <v>5.4</v>
      </c>
      <c r="H51" s="38" t="s">
        <v>217</v>
      </c>
      <c r="I51" s="29" t="s">
        <v>218</v>
      </c>
      <c r="J51" s="38">
        <v>85.0</v>
      </c>
      <c r="K51" s="38">
        <v>54.0</v>
      </c>
      <c r="L51" s="38">
        <v>34.0</v>
      </c>
      <c r="M51" s="38">
        <v>7.0</v>
      </c>
      <c r="N51" s="38">
        <v>1.0</v>
      </c>
      <c r="O51" s="38"/>
      <c r="P51" s="33" t="str">
        <f>sum(Q51:S51)</f>
        <v>0</v>
      </c>
      <c r="Q51" s="33" t="str">
        <f t="shared" si="12"/>
        <v>0</v>
      </c>
      <c r="R51" s="33" t="str">
        <f t="shared" si="13"/>
        <v>0</v>
      </c>
      <c r="S51" s="33" t="str">
        <f t="shared" si="14"/>
        <v>0</v>
      </c>
      <c r="T51" s="38" t="s">
        <v>67</v>
      </c>
      <c r="U51" s="38" t="s">
        <v>67</v>
      </c>
      <c r="V51" s="38" t="s">
        <v>67</v>
      </c>
      <c r="W51" s="38" t="s">
        <v>67</v>
      </c>
      <c r="X51" s="38" t="s">
        <v>67</v>
      </c>
      <c r="Y51" s="38" t="s">
        <v>67</v>
      </c>
      <c r="Z51" s="38">
        <v>0.0</v>
      </c>
      <c r="AA51" s="38">
        <v>0.0</v>
      </c>
      <c r="AB51" s="38">
        <v>0.0</v>
      </c>
      <c r="AC51" s="38">
        <v>0.0</v>
      </c>
      <c r="AD51" s="34" t="str">
        <f t="shared" si="5"/>
        <v>0</v>
      </c>
      <c r="AE51" s="38" t="s">
        <v>67</v>
      </c>
      <c r="AF51" s="38" t="s">
        <v>67</v>
      </c>
      <c r="AG51" s="38" t="s">
        <v>67</v>
      </c>
      <c r="AH51" s="38" t="s">
        <v>67</v>
      </c>
      <c r="AI51" s="38" t="s">
        <v>67</v>
      </c>
      <c r="AJ51" s="34" t="str">
        <f t="shared" si="6"/>
        <v>0</v>
      </c>
      <c r="AK51" s="38" t="s">
        <v>67</v>
      </c>
      <c r="AL51" s="38" t="s">
        <v>67</v>
      </c>
      <c r="AM51" s="38" t="s">
        <v>67</v>
      </c>
      <c r="AN51" s="38" t="s">
        <v>67</v>
      </c>
      <c r="AO51" s="38" t="s">
        <v>67</v>
      </c>
      <c r="AP51" s="29">
        <v>0.0</v>
      </c>
      <c r="AQ51" s="38">
        <v>0.0</v>
      </c>
      <c r="AR51" s="38">
        <v>0.0</v>
      </c>
      <c r="AS51" s="38" t="s">
        <v>67</v>
      </c>
      <c r="AT51" s="38" t="s">
        <v>67</v>
      </c>
      <c r="AU51" s="38" t="s">
        <v>67</v>
      </c>
      <c r="AV51" s="38" t="s">
        <v>67</v>
      </c>
      <c r="AW51" s="38" t="s">
        <v>67</v>
      </c>
      <c r="AX51" s="38" t="s">
        <v>67</v>
      </c>
      <c r="AY51" s="38" t="s">
        <v>67</v>
      </c>
      <c r="AZ51" s="38" t="s">
        <v>67</v>
      </c>
      <c r="BA51" s="38" t="s">
        <v>67</v>
      </c>
      <c r="BB51" s="38" t="s">
        <v>67</v>
      </c>
      <c r="BC51" s="38" t="s">
        <v>67</v>
      </c>
      <c r="BD51" s="38" t="s">
        <v>67</v>
      </c>
      <c r="BE51" s="38" t="s">
        <v>67</v>
      </c>
      <c r="BF51" s="38" t="s">
        <v>67</v>
      </c>
      <c r="BG51" s="38">
        <v>0.0</v>
      </c>
      <c r="BH51" s="38" t="s">
        <v>67</v>
      </c>
      <c r="BI51" s="38" t="s">
        <v>67</v>
      </c>
      <c r="BJ51" s="38" t="s">
        <v>67</v>
      </c>
      <c r="BK51" s="38" t="s">
        <v>67</v>
      </c>
      <c r="BL51" s="38" t="s">
        <v>67</v>
      </c>
      <c r="BM51" s="38" t="s">
        <v>67</v>
      </c>
      <c r="BN51" s="34" t="str">
        <f t="shared" si="7"/>
        <v>0</v>
      </c>
    </row>
    <row r="52" ht="15.75" customHeight="1">
      <c r="A52" s="42">
        <v>26.0</v>
      </c>
      <c r="B52" s="25" t="s">
        <v>219</v>
      </c>
      <c r="C52" s="54" t="s">
        <v>220</v>
      </c>
      <c r="D52" s="55" t="s">
        <v>221</v>
      </c>
      <c r="E52" s="29">
        <v>3130.0</v>
      </c>
      <c r="F52" s="29" t="s">
        <v>222</v>
      </c>
      <c r="G52" s="29">
        <v>9.0</v>
      </c>
      <c r="H52" s="29" t="s">
        <v>223</v>
      </c>
      <c r="I52" s="29" t="s">
        <v>109</v>
      </c>
      <c r="J52" s="29">
        <v>1083.0</v>
      </c>
      <c r="K52" s="29">
        <v>210.0</v>
      </c>
      <c r="L52" s="42">
        <v>1.0</v>
      </c>
      <c r="M52" s="42"/>
      <c r="N52" s="42"/>
      <c r="O52" s="42"/>
      <c r="P52" s="33" t="s">
        <v>88</v>
      </c>
      <c r="Q52" s="33" t="str">
        <f t="shared" si="12"/>
        <v>0</v>
      </c>
      <c r="R52" s="33" t="str">
        <f t="shared" si="13"/>
        <v>0</v>
      </c>
      <c r="S52" s="33" t="str">
        <f t="shared" si="14"/>
        <v>0</v>
      </c>
      <c r="T52" s="29">
        <v>0.0</v>
      </c>
      <c r="U52" s="29">
        <v>0.0</v>
      </c>
      <c r="V52" s="29">
        <v>0.0</v>
      </c>
      <c r="W52" s="29">
        <v>0.0</v>
      </c>
      <c r="X52" s="29">
        <v>0.0</v>
      </c>
      <c r="Y52" s="29">
        <v>0.0</v>
      </c>
      <c r="Z52" s="29">
        <v>0.0</v>
      </c>
      <c r="AA52" s="29" t="s">
        <v>67</v>
      </c>
      <c r="AB52" s="29" t="s">
        <v>67</v>
      </c>
      <c r="AC52" s="29" t="s">
        <v>67</v>
      </c>
      <c r="AD52" s="34" t="str">
        <f t="shared" si="5"/>
        <v>0</v>
      </c>
      <c r="AE52" s="29">
        <v>0.0</v>
      </c>
      <c r="AF52" s="29">
        <v>0.0</v>
      </c>
      <c r="AG52" s="29">
        <v>0.0</v>
      </c>
      <c r="AH52" s="29">
        <v>0.0</v>
      </c>
      <c r="AI52" s="29">
        <v>0.0</v>
      </c>
      <c r="AJ52" s="34" t="str">
        <f t="shared" si="6"/>
        <v>0</v>
      </c>
      <c r="AK52" s="29">
        <v>0.0</v>
      </c>
      <c r="AL52" s="29">
        <v>0.0</v>
      </c>
      <c r="AM52" s="29">
        <v>0.0</v>
      </c>
      <c r="AN52" s="29">
        <v>0.0</v>
      </c>
      <c r="AO52" s="29">
        <v>0.0</v>
      </c>
      <c r="AP52" s="29" t="s">
        <v>67</v>
      </c>
      <c r="AQ52" s="29" t="s">
        <v>67</v>
      </c>
      <c r="AR52" s="29" t="s">
        <v>67</v>
      </c>
      <c r="AS52" s="29" t="s">
        <v>67</v>
      </c>
      <c r="AT52" s="29" t="s">
        <v>67</v>
      </c>
      <c r="AU52" s="29" t="s">
        <v>67</v>
      </c>
      <c r="AV52" s="29" t="s">
        <v>67</v>
      </c>
      <c r="AW52" s="29" t="s">
        <v>67</v>
      </c>
      <c r="AX52" s="29" t="s">
        <v>67</v>
      </c>
      <c r="AY52" s="29" t="s">
        <v>67</v>
      </c>
      <c r="AZ52" s="29" t="s">
        <v>67</v>
      </c>
      <c r="BA52" s="29" t="s">
        <v>67</v>
      </c>
      <c r="BB52" s="29" t="s">
        <v>67</v>
      </c>
      <c r="BC52" s="29" t="s">
        <v>67</v>
      </c>
      <c r="BD52" s="29" t="s">
        <v>67</v>
      </c>
      <c r="BE52" s="29" t="s">
        <v>67</v>
      </c>
      <c r="BF52" s="29" t="s">
        <v>67</v>
      </c>
      <c r="BG52" s="29" t="s">
        <v>67</v>
      </c>
      <c r="BH52" s="29" t="s">
        <v>67</v>
      </c>
      <c r="BI52" s="29" t="s">
        <v>67</v>
      </c>
      <c r="BJ52" s="29" t="s">
        <v>67</v>
      </c>
      <c r="BK52" s="29" t="s">
        <v>67</v>
      </c>
      <c r="BL52" s="29" t="s">
        <v>67</v>
      </c>
      <c r="BM52" s="29" t="s">
        <v>67</v>
      </c>
      <c r="BN52" s="34" t="str">
        <f t="shared" si="7"/>
        <v>0</v>
      </c>
    </row>
    <row r="53" ht="15.75" customHeight="1">
      <c r="A53" s="59">
        <v>27.0</v>
      </c>
      <c r="B53" s="25" t="s">
        <v>224</v>
      </c>
      <c r="C53" s="26" t="s">
        <v>225</v>
      </c>
      <c r="D53" s="27" t="s">
        <v>226</v>
      </c>
      <c r="E53" s="28">
        <v>3130.0</v>
      </c>
      <c r="F53" s="29" t="s">
        <v>97</v>
      </c>
      <c r="G53" s="28">
        <v>13.23</v>
      </c>
      <c r="H53" s="36" t="s">
        <v>98</v>
      </c>
      <c r="I53" s="28" t="s">
        <v>99</v>
      </c>
      <c r="J53" s="28">
        <v>1253.0</v>
      </c>
      <c r="K53" s="28">
        <v>563.0</v>
      </c>
      <c r="L53" s="31">
        <v>215.0</v>
      </c>
      <c r="M53" s="31">
        <v>15.0</v>
      </c>
      <c r="N53" s="31">
        <v>1.0</v>
      </c>
      <c r="O53" s="31"/>
      <c r="P53" s="33" t="str">
        <f>sum(Q53:S53)</f>
        <v>1</v>
      </c>
      <c r="Q53" s="33" t="str">
        <f t="shared" si="12"/>
        <v>1</v>
      </c>
      <c r="R53" s="33" t="str">
        <f t="shared" si="13"/>
        <v>0</v>
      </c>
      <c r="S53" s="33" t="str">
        <f t="shared" si="14"/>
        <v>0</v>
      </c>
      <c r="T53" s="29">
        <v>1.0</v>
      </c>
      <c r="U53" s="29">
        <v>0.0</v>
      </c>
      <c r="V53" s="29">
        <v>0.0</v>
      </c>
      <c r="W53" s="29">
        <v>0.0</v>
      </c>
      <c r="X53" s="29">
        <v>0.0</v>
      </c>
      <c r="Y53" s="29">
        <v>0.0</v>
      </c>
      <c r="Z53" s="29">
        <v>0.0</v>
      </c>
      <c r="AA53" s="29" t="s">
        <v>67</v>
      </c>
      <c r="AB53" s="29" t="s">
        <v>67</v>
      </c>
      <c r="AC53" s="29" t="s">
        <v>67</v>
      </c>
      <c r="AD53" s="34" t="str">
        <f t="shared" si="5"/>
        <v>1</v>
      </c>
      <c r="AE53" s="29">
        <v>0.0</v>
      </c>
      <c r="AF53" s="29">
        <v>0.0</v>
      </c>
      <c r="AG53" s="29">
        <v>0.0</v>
      </c>
      <c r="AH53" s="29">
        <v>0.0</v>
      </c>
      <c r="AI53" s="29">
        <v>0.0</v>
      </c>
      <c r="AJ53" s="34" t="str">
        <f t="shared" si="6"/>
        <v>0</v>
      </c>
      <c r="AK53" s="29">
        <v>0.0</v>
      </c>
      <c r="AL53" s="29">
        <v>0.0</v>
      </c>
      <c r="AM53" s="29">
        <v>0.0</v>
      </c>
      <c r="AN53" s="29">
        <v>0.0</v>
      </c>
      <c r="AO53" s="29">
        <v>0.0</v>
      </c>
      <c r="AP53" s="29" t="s">
        <v>67</v>
      </c>
      <c r="AQ53" s="29" t="s">
        <v>67</v>
      </c>
      <c r="AR53" s="29" t="s">
        <v>67</v>
      </c>
      <c r="AS53" s="29" t="s">
        <v>67</v>
      </c>
      <c r="AT53" s="29" t="s">
        <v>67</v>
      </c>
      <c r="AU53" s="29" t="s">
        <v>67</v>
      </c>
      <c r="AV53" s="29" t="s">
        <v>67</v>
      </c>
      <c r="AW53" s="29" t="s">
        <v>67</v>
      </c>
      <c r="AX53" s="29" t="s">
        <v>67</v>
      </c>
      <c r="AY53" s="29" t="s">
        <v>67</v>
      </c>
      <c r="AZ53" s="29" t="s">
        <v>67</v>
      </c>
      <c r="BA53" s="29" t="s">
        <v>67</v>
      </c>
      <c r="BB53" s="29" t="s">
        <v>67</v>
      </c>
      <c r="BC53" s="29" t="s">
        <v>67</v>
      </c>
      <c r="BD53" s="29" t="s">
        <v>67</v>
      </c>
      <c r="BE53" s="29" t="s">
        <v>67</v>
      </c>
      <c r="BF53" s="29">
        <v>0.0</v>
      </c>
      <c r="BG53" s="29">
        <v>0.0</v>
      </c>
      <c r="BH53" s="29" t="s">
        <v>67</v>
      </c>
      <c r="BI53" s="29" t="s">
        <v>67</v>
      </c>
      <c r="BJ53" s="29" t="s">
        <v>67</v>
      </c>
      <c r="BK53" s="29" t="s">
        <v>67</v>
      </c>
      <c r="BL53" s="29" t="s">
        <v>67</v>
      </c>
      <c r="BM53" s="29" t="s">
        <v>67</v>
      </c>
      <c r="BN53" s="34" t="str">
        <f t="shared" si="7"/>
        <v>0</v>
      </c>
    </row>
    <row r="54" ht="15.75" customHeight="1">
      <c r="A54" s="23"/>
      <c r="B54" s="11"/>
      <c r="C54" s="11"/>
      <c r="D54" s="23"/>
      <c r="E54" s="23"/>
      <c r="F54" s="29" t="s">
        <v>100</v>
      </c>
      <c r="G54" s="28">
        <v>15.23</v>
      </c>
      <c r="H54" s="14"/>
      <c r="I54" s="23"/>
      <c r="J54" s="11"/>
      <c r="K54" s="11"/>
      <c r="L54" s="11"/>
      <c r="M54" s="11"/>
      <c r="N54" s="11"/>
      <c r="O54" s="11"/>
      <c r="P54" s="33" t="s">
        <v>88</v>
      </c>
      <c r="Q54" s="33" t="str">
        <f t="shared" si="12"/>
        <v>0</v>
      </c>
      <c r="R54" s="33" t="str">
        <f t="shared" si="13"/>
        <v>0</v>
      </c>
      <c r="S54" s="33" t="str">
        <f t="shared" si="14"/>
        <v>0</v>
      </c>
      <c r="T54" s="29">
        <v>0.0</v>
      </c>
      <c r="U54" s="29">
        <v>0.0</v>
      </c>
      <c r="V54" s="29">
        <v>0.0</v>
      </c>
      <c r="W54" s="29">
        <v>0.0</v>
      </c>
      <c r="X54" s="29">
        <v>0.0</v>
      </c>
      <c r="Y54" s="29">
        <v>0.0</v>
      </c>
      <c r="Z54" s="29">
        <v>0.0</v>
      </c>
      <c r="AA54" s="29" t="s">
        <v>67</v>
      </c>
      <c r="AB54" s="29" t="s">
        <v>67</v>
      </c>
      <c r="AC54" s="29" t="s">
        <v>67</v>
      </c>
      <c r="AD54" s="34" t="str">
        <f t="shared" si="5"/>
        <v>0</v>
      </c>
      <c r="AE54" s="29">
        <v>0.0</v>
      </c>
      <c r="AF54" s="29">
        <v>0.0</v>
      </c>
      <c r="AG54" s="29">
        <v>0.0</v>
      </c>
      <c r="AH54" s="29">
        <v>0.0</v>
      </c>
      <c r="AI54" s="29">
        <v>0.0</v>
      </c>
      <c r="AJ54" s="34" t="str">
        <f t="shared" si="6"/>
        <v>0</v>
      </c>
      <c r="AK54" s="29">
        <v>0.0</v>
      </c>
      <c r="AL54" s="29">
        <v>0.0</v>
      </c>
      <c r="AM54" s="29">
        <v>0.0</v>
      </c>
      <c r="AN54" s="29">
        <v>0.0</v>
      </c>
      <c r="AO54" s="29">
        <v>0.0</v>
      </c>
      <c r="AP54" s="29" t="s">
        <v>67</v>
      </c>
      <c r="AQ54" s="29" t="s">
        <v>67</v>
      </c>
      <c r="AR54" s="29" t="s">
        <v>67</v>
      </c>
      <c r="AS54" s="29" t="s">
        <v>67</v>
      </c>
      <c r="AT54" s="29" t="s">
        <v>67</v>
      </c>
      <c r="AU54" s="29" t="s">
        <v>67</v>
      </c>
      <c r="AV54" s="29" t="s">
        <v>67</v>
      </c>
      <c r="AW54" s="29" t="s">
        <v>67</v>
      </c>
      <c r="AX54" s="29" t="s">
        <v>67</v>
      </c>
      <c r="AY54" s="29" t="s">
        <v>67</v>
      </c>
      <c r="AZ54" s="29" t="s">
        <v>67</v>
      </c>
      <c r="BA54" s="29" t="s">
        <v>67</v>
      </c>
      <c r="BB54" s="29" t="s">
        <v>67</v>
      </c>
      <c r="BC54" s="29" t="s">
        <v>67</v>
      </c>
      <c r="BD54" s="29" t="s">
        <v>67</v>
      </c>
      <c r="BE54" s="29" t="s">
        <v>67</v>
      </c>
      <c r="BF54" s="29">
        <v>0.0</v>
      </c>
      <c r="BG54" s="29">
        <v>0.0</v>
      </c>
      <c r="BH54" s="29" t="s">
        <v>67</v>
      </c>
      <c r="BI54" s="29" t="s">
        <v>67</v>
      </c>
      <c r="BJ54" s="29" t="s">
        <v>67</v>
      </c>
      <c r="BK54" s="29" t="s">
        <v>67</v>
      </c>
      <c r="BL54" s="29" t="s">
        <v>67</v>
      </c>
      <c r="BM54" s="29" t="s">
        <v>67</v>
      </c>
      <c r="BN54" s="34" t="str">
        <f t="shared" si="7"/>
        <v>0</v>
      </c>
    </row>
    <row r="55" ht="15.75" customHeight="1">
      <c r="A55" s="42">
        <v>28.0</v>
      </c>
      <c r="B55" s="25" t="s">
        <v>227</v>
      </c>
      <c r="C55" s="54" t="s">
        <v>228</v>
      </c>
      <c r="D55" s="55" t="s">
        <v>229</v>
      </c>
      <c r="E55" s="29">
        <v>3130.0</v>
      </c>
      <c r="F55" s="42"/>
      <c r="G55" s="29" t="s">
        <v>230</v>
      </c>
      <c r="H55" s="29" t="s">
        <v>231</v>
      </c>
      <c r="I55" s="29" t="s">
        <v>232</v>
      </c>
      <c r="J55" s="29">
        <v>683.0</v>
      </c>
      <c r="K55" s="29">
        <v>255.0</v>
      </c>
      <c r="L55" s="42">
        <v>28.0</v>
      </c>
      <c r="M55" s="42"/>
      <c r="N55" s="42"/>
      <c r="O55" s="42"/>
      <c r="P55" s="33" t="s">
        <v>88</v>
      </c>
      <c r="Q55" s="33" t="str">
        <f t="shared" si="12"/>
        <v>0</v>
      </c>
      <c r="R55" s="33" t="str">
        <f t="shared" si="13"/>
        <v>0</v>
      </c>
      <c r="S55" s="33" t="str">
        <f t="shared" si="14"/>
        <v>0</v>
      </c>
      <c r="T55" s="29">
        <v>0.0</v>
      </c>
      <c r="U55" s="29">
        <v>0.0</v>
      </c>
      <c r="V55" s="29">
        <v>0.0</v>
      </c>
      <c r="W55" s="29">
        <v>0.0</v>
      </c>
      <c r="X55" s="29">
        <v>0.0</v>
      </c>
      <c r="Y55" s="29">
        <v>0.0</v>
      </c>
      <c r="Z55" s="29">
        <v>0.0</v>
      </c>
      <c r="AA55" s="29" t="s">
        <v>67</v>
      </c>
      <c r="AB55" s="29" t="s">
        <v>67</v>
      </c>
      <c r="AC55" s="29" t="s">
        <v>67</v>
      </c>
      <c r="AD55" s="34" t="str">
        <f t="shared" si="5"/>
        <v>0</v>
      </c>
      <c r="AE55" s="29">
        <v>0.0</v>
      </c>
      <c r="AF55" s="29">
        <v>0.0</v>
      </c>
      <c r="AG55" s="29">
        <v>0.0</v>
      </c>
      <c r="AH55" s="29">
        <v>0.0</v>
      </c>
      <c r="AI55" s="29">
        <v>0.0</v>
      </c>
      <c r="AJ55" s="34" t="str">
        <f t="shared" si="6"/>
        <v>0</v>
      </c>
      <c r="AK55" s="29">
        <v>0.0</v>
      </c>
      <c r="AL55" s="29">
        <v>0.0</v>
      </c>
      <c r="AM55" s="29">
        <v>0.0</v>
      </c>
      <c r="AN55" s="29">
        <v>0.0</v>
      </c>
      <c r="AO55" s="29">
        <v>0.0</v>
      </c>
      <c r="AP55" s="29" t="s">
        <v>67</v>
      </c>
      <c r="AQ55" s="29" t="s">
        <v>67</v>
      </c>
      <c r="AR55" s="29" t="s">
        <v>67</v>
      </c>
      <c r="AS55" s="29">
        <v>0.0</v>
      </c>
      <c r="AT55" s="29" t="s">
        <v>67</v>
      </c>
      <c r="AU55" s="29" t="s">
        <v>67</v>
      </c>
      <c r="AV55" s="29" t="s">
        <v>67</v>
      </c>
      <c r="AW55" s="29" t="s">
        <v>67</v>
      </c>
      <c r="AX55" s="29" t="s">
        <v>67</v>
      </c>
      <c r="AY55" s="29" t="s">
        <v>67</v>
      </c>
      <c r="AZ55" s="29" t="s">
        <v>67</v>
      </c>
      <c r="BA55" s="29" t="s">
        <v>67</v>
      </c>
      <c r="BB55" s="29" t="s">
        <v>67</v>
      </c>
      <c r="BC55" s="29" t="s">
        <v>67</v>
      </c>
      <c r="BD55" s="29" t="s">
        <v>67</v>
      </c>
      <c r="BE55" s="29" t="s">
        <v>67</v>
      </c>
      <c r="BF55" s="29">
        <v>0.0</v>
      </c>
      <c r="BG55" s="29">
        <v>0.0</v>
      </c>
      <c r="BH55" s="29" t="s">
        <v>67</v>
      </c>
      <c r="BI55" s="29" t="s">
        <v>67</v>
      </c>
      <c r="BJ55" s="29" t="s">
        <v>67</v>
      </c>
      <c r="BK55" s="29" t="s">
        <v>67</v>
      </c>
      <c r="BL55" s="29" t="s">
        <v>67</v>
      </c>
      <c r="BM55" s="29" t="s">
        <v>67</v>
      </c>
      <c r="BN55" s="34" t="str">
        <f t="shared" si="7"/>
        <v>0</v>
      </c>
    </row>
    <row r="56" ht="15.75" customHeight="1">
      <c r="A56" s="31">
        <v>29.0</v>
      </c>
      <c r="B56" s="25" t="s">
        <v>233</v>
      </c>
      <c r="C56" s="26" t="s">
        <v>234</v>
      </c>
      <c r="D56" s="27" t="s">
        <v>235</v>
      </c>
      <c r="E56" s="28">
        <v>3130.0</v>
      </c>
      <c r="F56" s="29" t="s">
        <v>236</v>
      </c>
      <c r="G56" s="28" t="s">
        <v>76</v>
      </c>
      <c r="H56" s="28" t="s">
        <v>77</v>
      </c>
      <c r="I56" s="28" t="s">
        <v>78</v>
      </c>
      <c r="J56" s="28">
        <v>1132.0</v>
      </c>
      <c r="K56" s="28">
        <v>667.0</v>
      </c>
      <c r="L56" s="31">
        <v>594.0</v>
      </c>
      <c r="M56" s="31">
        <v>230.0</v>
      </c>
      <c r="N56" s="31">
        <v>85.0</v>
      </c>
      <c r="O56" s="31"/>
      <c r="P56" s="33" t="str">
        <f t="shared" ref="P56:P62" si="15">sum(Q56:S56)</f>
        <v>3</v>
      </c>
      <c r="Q56" s="33" t="str">
        <f t="shared" si="12"/>
        <v>2</v>
      </c>
      <c r="R56" s="33" t="str">
        <f t="shared" si="13"/>
        <v>0</v>
      </c>
      <c r="S56" s="33" t="str">
        <f t="shared" si="14"/>
        <v>1</v>
      </c>
      <c r="T56" s="29">
        <v>1.0</v>
      </c>
      <c r="U56" s="29">
        <v>0.0</v>
      </c>
      <c r="V56" s="29">
        <v>0.0</v>
      </c>
      <c r="W56" s="29">
        <v>1.0</v>
      </c>
      <c r="X56" s="29">
        <v>0.0</v>
      </c>
      <c r="Y56" s="29">
        <v>0.0</v>
      </c>
      <c r="Z56" s="29" t="s">
        <v>67</v>
      </c>
      <c r="AA56" s="29" t="s">
        <v>67</v>
      </c>
      <c r="AB56" s="29" t="s">
        <v>67</v>
      </c>
      <c r="AC56" s="29" t="s">
        <v>67</v>
      </c>
      <c r="AD56" s="34" t="str">
        <f t="shared" si="5"/>
        <v>2</v>
      </c>
      <c r="AE56" s="29">
        <v>0.0</v>
      </c>
      <c r="AF56" s="29">
        <v>0.0</v>
      </c>
      <c r="AG56" s="29">
        <v>0.0</v>
      </c>
      <c r="AH56" s="29">
        <v>0.0</v>
      </c>
      <c r="AI56" s="29">
        <v>0.0</v>
      </c>
      <c r="AJ56" s="34" t="str">
        <f t="shared" si="6"/>
        <v>0</v>
      </c>
      <c r="AK56" s="29">
        <v>1.0</v>
      </c>
      <c r="AL56" s="29">
        <v>0.0</v>
      </c>
      <c r="AM56" s="29">
        <v>0.0</v>
      </c>
      <c r="AN56" s="29">
        <v>0.0</v>
      </c>
      <c r="AO56" s="29">
        <v>0.0</v>
      </c>
      <c r="AP56" s="29" t="s">
        <v>67</v>
      </c>
      <c r="AQ56" s="29" t="s">
        <v>67</v>
      </c>
      <c r="AR56" s="29" t="s">
        <v>67</v>
      </c>
      <c r="AS56" s="29">
        <v>0.0</v>
      </c>
      <c r="AT56" s="29" t="s">
        <v>67</v>
      </c>
      <c r="AU56" s="29" t="s">
        <v>67</v>
      </c>
      <c r="AV56" s="29" t="s">
        <v>67</v>
      </c>
      <c r="AW56" s="29" t="s">
        <v>67</v>
      </c>
      <c r="AX56" s="29" t="s">
        <v>67</v>
      </c>
      <c r="AY56" s="29" t="s">
        <v>67</v>
      </c>
      <c r="AZ56" s="29" t="s">
        <v>67</v>
      </c>
      <c r="BA56" s="29" t="s">
        <v>67</v>
      </c>
      <c r="BB56" s="29" t="s">
        <v>67</v>
      </c>
      <c r="BC56" s="29" t="s">
        <v>67</v>
      </c>
      <c r="BD56" s="29" t="s">
        <v>67</v>
      </c>
      <c r="BE56" s="29" t="s">
        <v>67</v>
      </c>
      <c r="BF56" s="29">
        <v>0.0</v>
      </c>
      <c r="BG56" s="29">
        <v>0.0</v>
      </c>
      <c r="BH56" s="29" t="s">
        <v>67</v>
      </c>
      <c r="BI56" s="29" t="s">
        <v>67</v>
      </c>
      <c r="BJ56" s="29" t="s">
        <v>67</v>
      </c>
      <c r="BK56" s="29" t="s">
        <v>67</v>
      </c>
      <c r="BL56" s="29" t="s">
        <v>67</v>
      </c>
      <c r="BM56" s="29" t="s">
        <v>67</v>
      </c>
      <c r="BN56" s="34" t="str">
        <f t="shared" si="7"/>
        <v>1</v>
      </c>
    </row>
    <row r="57" ht="15.75" customHeight="1">
      <c r="A57" s="11"/>
      <c r="B57" s="11"/>
      <c r="C57" s="11"/>
      <c r="D57" s="11"/>
      <c r="E57" s="11"/>
      <c r="F57" s="29" t="s">
        <v>237</v>
      </c>
      <c r="G57" s="11"/>
      <c r="H57" s="11"/>
      <c r="I57" s="11"/>
      <c r="J57" s="11"/>
      <c r="K57" s="11"/>
      <c r="L57" s="11"/>
      <c r="M57" s="11"/>
      <c r="N57" s="11"/>
      <c r="O57" s="11"/>
      <c r="P57" s="33" t="str">
        <f t="shared" si="15"/>
        <v>1</v>
      </c>
      <c r="Q57" s="33" t="str">
        <f t="shared" si="12"/>
        <v>0</v>
      </c>
      <c r="R57" s="33" t="str">
        <f t="shared" si="13"/>
        <v>1</v>
      </c>
      <c r="S57" s="33" t="str">
        <f t="shared" si="14"/>
        <v>0</v>
      </c>
      <c r="T57" s="29">
        <v>0.0</v>
      </c>
      <c r="U57" s="29">
        <v>0.0</v>
      </c>
      <c r="V57" s="29">
        <v>0.0</v>
      </c>
      <c r="W57" s="29">
        <v>0.0</v>
      </c>
      <c r="X57" s="29">
        <v>0.0</v>
      </c>
      <c r="Y57" s="29">
        <v>0.0</v>
      </c>
      <c r="Z57" s="29" t="s">
        <v>67</v>
      </c>
      <c r="AA57" s="29" t="s">
        <v>67</v>
      </c>
      <c r="AB57" s="29" t="s">
        <v>67</v>
      </c>
      <c r="AC57" s="29" t="s">
        <v>67</v>
      </c>
      <c r="AD57" s="34" t="str">
        <f t="shared" si="5"/>
        <v>0</v>
      </c>
      <c r="AE57" s="29">
        <v>0.0</v>
      </c>
      <c r="AF57" s="29">
        <v>0.0</v>
      </c>
      <c r="AG57" s="29">
        <v>0.0</v>
      </c>
      <c r="AH57" s="29">
        <v>1.0</v>
      </c>
      <c r="AI57" s="29">
        <v>0.0</v>
      </c>
      <c r="AJ57" s="34" t="str">
        <f t="shared" si="6"/>
        <v>1</v>
      </c>
      <c r="AK57" s="29">
        <v>0.0</v>
      </c>
      <c r="AL57" s="29">
        <v>0.0</v>
      </c>
      <c r="AM57" s="29">
        <v>0.0</v>
      </c>
      <c r="AN57" s="29">
        <v>0.0</v>
      </c>
      <c r="AO57" s="29">
        <v>0.0</v>
      </c>
      <c r="AP57" s="29" t="s">
        <v>67</v>
      </c>
      <c r="AQ57" s="29" t="s">
        <v>67</v>
      </c>
      <c r="AR57" s="29" t="s">
        <v>67</v>
      </c>
      <c r="AS57" s="29">
        <v>0.0</v>
      </c>
      <c r="AT57" s="29" t="s">
        <v>67</v>
      </c>
      <c r="AU57" s="29" t="s">
        <v>67</v>
      </c>
      <c r="AV57" s="29" t="s">
        <v>67</v>
      </c>
      <c r="AW57" s="29" t="s">
        <v>67</v>
      </c>
      <c r="AX57" s="29" t="s">
        <v>67</v>
      </c>
      <c r="AY57" s="29" t="s">
        <v>67</v>
      </c>
      <c r="AZ57" s="29" t="s">
        <v>67</v>
      </c>
      <c r="BA57" s="29" t="s">
        <v>67</v>
      </c>
      <c r="BB57" s="29" t="s">
        <v>67</v>
      </c>
      <c r="BC57" s="29" t="s">
        <v>67</v>
      </c>
      <c r="BD57" s="29" t="s">
        <v>67</v>
      </c>
      <c r="BE57" s="29" t="s">
        <v>67</v>
      </c>
      <c r="BF57" s="29">
        <v>0.0</v>
      </c>
      <c r="BG57" s="29">
        <v>0.0</v>
      </c>
      <c r="BH57" s="29" t="s">
        <v>67</v>
      </c>
      <c r="BI57" s="29" t="s">
        <v>67</v>
      </c>
      <c r="BJ57" s="29" t="s">
        <v>67</v>
      </c>
      <c r="BK57" s="29" t="s">
        <v>67</v>
      </c>
      <c r="BL57" s="29" t="s">
        <v>67</v>
      </c>
      <c r="BM57" s="29" t="s">
        <v>67</v>
      </c>
      <c r="BN57" s="34" t="str">
        <f t="shared" si="7"/>
        <v>0</v>
      </c>
    </row>
    <row r="58" ht="15.75" customHeight="1">
      <c r="A58" s="11"/>
      <c r="B58" s="11"/>
      <c r="C58" s="11"/>
      <c r="D58" s="11"/>
      <c r="E58" s="11"/>
      <c r="F58" s="29" t="s">
        <v>238</v>
      </c>
      <c r="G58" s="11"/>
      <c r="H58" s="11"/>
      <c r="I58" s="11"/>
      <c r="J58" s="11"/>
      <c r="K58" s="11"/>
      <c r="L58" s="11"/>
      <c r="M58" s="11"/>
      <c r="N58" s="11"/>
      <c r="O58" s="11"/>
      <c r="P58" s="33" t="str">
        <f t="shared" si="15"/>
        <v>2</v>
      </c>
      <c r="Q58" s="33" t="str">
        <f t="shared" si="12"/>
        <v>1</v>
      </c>
      <c r="R58" s="33" t="str">
        <f t="shared" si="13"/>
        <v>0</v>
      </c>
      <c r="S58" s="33" t="str">
        <f t="shared" si="14"/>
        <v>1</v>
      </c>
      <c r="T58" s="29">
        <v>1.0</v>
      </c>
      <c r="U58" s="29">
        <v>0.0</v>
      </c>
      <c r="V58" s="29">
        <v>0.0</v>
      </c>
      <c r="W58" s="29">
        <v>0.0</v>
      </c>
      <c r="X58" s="29">
        <v>0.0</v>
      </c>
      <c r="Y58" s="29">
        <v>0.0</v>
      </c>
      <c r="Z58" s="29" t="s">
        <v>67</v>
      </c>
      <c r="AA58" s="29" t="s">
        <v>67</v>
      </c>
      <c r="AB58" s="29" t="s">
        <v>67</v>
      </c>
      <c r="AC58" s="29" t="s">
        <v>67</v>
      </c>
      <c r="AD58" s="34" t="str">
        <f t="shared" si="5"/>
        <v>1</v>
      </c>
      <c r="AE58" s="29">
        <v>0.0</v>
      </c>
      <c r="AF58" s="29">
        <v>0.0</v>
      </c>
      <c r="AG58" s="29">
        <v>0.0</v>
      </c>
      <c r="AH58" s="29">
        <v>0.0</v>
      </c>
      <c r="AI58" s="29">
        <v>0.0</v>
      </c>
      <c r="AJ58" s="34" t="str">
        <f t="shared" si="6"/>
        <v>0</v>
      </c>
      <c r="AK58" s="29">
        <v>0.0</v>
      </c>
      <c r="AL58" s="29">
        <v>0.0</v>
      </c>
      <c r="AM58" s="29">
        <v>1.0</v>
      </c>
      <c r="AN58" s="29">
        <v>0.0</v>
      </c>
      <c r="AO58" s="29">
        <v>0.0</v>
      </c>
      <c r="AP58" s="29" t="s">
        <v>67</v>
      </c>
      <c r="AQ58" s="29" t="s">
        <v>67</v>
      </c>
      <c r="AR58" s="29" t="s">
        <v>67</v>
      </c>
      <c r="AS58" s="29">
        <v>0.0</v>
      </c>
      <c r="AT58" s="29" t="s">
        <v>67</v>
      </c>
      <c r="AU58" s="29" t="s">
        <v>67</v>
      </c>
      <c r="AV58" s="29" t="s">
        <v>67</v>
      </c>
      <c r="AW58" s="29" t="s">
        <v>67</v>
      </c>
      <c r="AX58" s="29" t="s">
        <v>67</v>
      </c>
      <c r="AY58" s="29" t="s">
        <v>67</v>
      </c>
      <c r="AZ58" s="29" t="s">
        <v>67</v>
      </c>
      <c r="BA58" s="29" t="s">
        <v>67</v>
      </c>
      <c r="BB58" s="29" t="s">
        <v>67</v>
      </c>
      <c r="BC58" s="29" t="s">
        <v>67</v>
      </c>
      <c r="BD58" s="29" t="s">
        <v>67</v>
      </c>
      <c r="BE58" s="29" t="s">
        <v>67</v>
      </c>
      <c r="BF58" s="29">
        <v>0.0</v>
      </c>
      <c r="BG58" s="29">
        <v>0.0</v>
      </c>
      <c r="BH58" s="29" t="s">
        <v>67</v>
      </c>
      <c r="BI58" s="29" t="s">
        <v>67</v>
      </c>
      <c r="BJ58" s="29" t="s">
        <v>67</v>
      </c>
      <c r="BK58" s="29" t="s">
        <v>67</v>
      </c>
      <c r="BL58" s="29" t="s">
        <v>67</v>
      </c>
      <c r="BM58" s="29" t="s">
        <v>67</v>
      </c>
      <c r="BN58" s="34" t="str">
        <f t="shared" si="7"/>
        <v>1</v>
      </c>
    </row>
    <row r="59" ht="15.75" customHeight="1">
      <c r="A59" s="11"/>
      <c r="B59" s="11"/>
      <c r="C59" s="11"/>
      <c r="D59" s="11"/>
      <c r="E59" s="11"/>
      <c r="F59" s="29" t="s">
        <v>239</v>
      </c>
      <c r="G59" s="11"/>
      <c r="H59" s="11"/>
      <c r="I59" s="11"/>
      <c r="J59" s="11"/>
      <c r="K59" s="11"/>
      <c r="L59" s="11"/>
      <c r="M59" s="11"/>
      <c r="N59" s="11"/>
      <c r="O59" s="11"/>
      <c r="P59" s="33" t="str">
        <f t="shared" si="15"/>
        <v>3</v>
      </c>
      <c r="Q59" s="33" t="str">
        <f t="shared" si="12"/>
        <v>1</v>
      </c>
      <c r="R59" s="33" t="str">
        <f t="shared" si="13"/>
        <v>0</v>
      </c>
      <c r="S59" s="33" t="str">
        <f t="shared" si="14"/>
        <v>2</v>
      </c>
      <c r="T59" s="29">
        <v>1.0</v>
      </c>
      <c r="U59" s="29">
        <v>0.0</v>
      </c>
      <c r="V59" s="29">
        <v>0.0</v>
      </c>
      <c r="W59" s="29">
        <v>0.0</v>
      </c>
      <c r="X59" s="29">
        <v>0.0</v>
      </c>
      <c r="Y59" s="29">
        <v>0.0</v>
      </c>
      <c r="Z59" s="29" t="s">
        <v>67</v>
      </c>
      <c r="AA59" s="29" t="s">
        <v>67</v>
      </c>
      <c r="AB59" s="29" t="s">
        <v>67</v>
      </c>
      <c r="AC59" s="29" t="s">
        <v>67</v>
      </c>
      <c r="AD59" s="34" t="str">
        <f t="shared" si="5"/>
        <v>1</v>
      </c>
      <c r="AE59" s="29">
        <v>0.0</v>
      </c>
      <c r="AF59" s="29">
        <v>0.0</v>
      </c>
      <c r="AG59" s="29">
        <v>0.0</v>
      </c>
      <c r="AH59" s="29">
        <v>0.0</v>
      </c>
      <c r="AI59" s="29">
        <v>0.0</v>
      </c>
      <c r="AJ59" s="34" t="str">
        <f t="shared" si="6"/>
        <v>0</v>
      </c>
      <c r="AK59" s="29">
        <v>1.0</v>
      </c>
      <c r="AL59" s="29">
        <v>1.0</v>
      </c>
      <c r="AM59" s="29">
        <v>0.0</v>
      </c>
      <c r="AN59" s="29">
        <v>0.0</v>
      </c>
      <c r="AO59" s="29">
        <v>0.0</v>
      </c>
      <c r="AP59" s="29" t="s">
        <v>67</v>
      </c>
      <c r="AQ59" s="29" t="s">
        <v>67</v>
      </c>
      <c r="AR59" s="29" t="s">
        <v>67</v>
      </c>
      <c r="AS59" s="29">
        <v>0.0</v>
      </c>
      <c r="AT59" s="29" t="s">
        <v>67</v>
      </c>
      <c r="AU59" s="29" t="s">
        <v>67</v>
      </c>
      <c r="AV59" s="29" t="s">
        <v>67</v>
      </c>
      <c r="AW59" s="29" t="s">
        <v>67</v>
      </c>
      <c r="AX59" s="29" t="s">
        <v>67</v>
      </c>
      <c r="AY59" s="29" t="s">
        <v>67</v>
      </c>
      <c r="AZ59" s="29" t="s">
        <v>67</v>
      </c>
      <c r="BA59" s="29" t="s">
        <v>67</v>
      </c>
      <c r="BB59" s="29" t="s">
        <v>67</v>
      </c>
      <c r="BC59" s="29" t="s">
        <v>67</v>
      </c>
      <c r="BD59" s="29" t="s">
        <v>67</v>
      </c>
      <c r="BE59" s="29" t="s">
        <v>67</v>
      </c>
      <c r="BF59" s="29">
        <v>0.0</v>
      </c>
      <c r="BG59" s="29">
        <v>0.0</v>
      </c>
      <c r="BH59" s="29" t="s">
        <v>67</v>
      </c>
      <c r="BI59" s="29" t="s">
        <v>67</v>
      </c>
      <c r="BJ59" s="29" t="s">
        <v>67</v>
      </c>
      <c r="BK59" s="29" t="s">
        <v>67</v>
      </c>
      <c r="BL59" s="29" t="s">
        <v>67</v>
      </c>
      <c r="BM59" s="29" t="s">
        <v>67</v>
      </c>
      <c r="BN59" s="34" t="str">
        <f t="shared" si="7"/>
        <v>2</v>
      </c>
    </row>
    <row r="60" ht="15.75" customHeight="1">
      <c r="A60" s="11"/>
      <c r="B60" s="11"/>
      <c r="C60" s="11"/>
      <c r="D60" s="11"/>
      <c r="E60" s="11"/>
      <c r="F60" s="29" t="s">
        <v>240</v>
      </c>
      <c r="G60" s="11"/>
      <c r="H60" s="11"/>
      <c r="I60" s="11"/>
      <c r="J60" s="11"/>
      <c r="K60" s="11"/>
      <c r="L60" s="11"/>
      <c r="M60" s="11"/>
      <c r="N60" s="11"/>
      <c r="O60" s="11"/>
      <c r="P60" s="33" t="str">
        <f t="shared" si="15"/>
        <v>3</v>
      </c>
      <c r="Q60" s="33" t="str">
        <f t="shared" si="12"/>
        <v>2</v>
      </c>
      <c r="R60" s="33" t="str">
        <f t="shared" si="13"/>
        <v>0</v>
      </c>
      <c r="S60" s="33" t="str">
        <f t="shared" si="14"/>
        <v>1</v>
      </c>
      <c r="T60" s="29">
        <v>1.0</v>
      </c>
      <c r="U60" s="29">
        <v>0.0</v>
      </c>
      <c r="V60" s="29">
        <v>0.0</v>
      </c>
      <c r="W60" s="29">
        <v>1.0</v>
      </c>
      <c r="X60" s="29">
        <v>0.0</v>
      </c>
      <c r="Y60" s="29">
        <v>0.0</v>
      </c>
      <c r="Z60" s="29" t="s">
        <v>67</v>
      </c>
      <c r="AA60" s="29" t="s">
        <v>67</v>
      </c>
      <c r="AB60" s="29" t="s">
        <v>67</v>
      </c>
      <c r="AC60" s="29" t="s">
        <v>67</v>
      </c>
      <c r="AD60" s="34" t="str">
        <f t="shared" si="5"/>
        <v>2</v>
      </c>
      <c r="AE60" s="29">
        <v>0.0</v>
      </c>
      <c r="AF60" s="29">
        <v>0.0</v>
      </c>
      <c r="AG60" s="29">
        <v>0.0</v>
      </c>
      <c r="AH60" s="29">
        <v>0.0</v>
      </c>
      <c r="AI60" s="29">
        <v>0.0</v>
      </c>
      <c r="AJ60" s="34" t="str">
        <f t="shared" si="6"/>
        <v>0</v>
      </c>
      <c r="AK60" s="29">
        <v>1.0</v>
      </c>
      <c r="AL60" s="29">
        <v>0.0</v>
      </c>
      <c r="AM60" s="29">
        <v>0.0</v>
      </c>
      <c r="AN60" s="29">
        <v>0.0</v>
      </c>
      <c r="AO60" s="29">
        <v>0.0</v>
      </c>
      <c r="AP60" s="29" t="s">
        <v>67</v>
      </c>
      <c r="AQ60" s="29" t="s">
        <v>67</v>
      </c>
      <c r="AR60" s="29" t="s">
        <v>67</v>
      </c>
      <c r="AS60" s="29">
        <v>0.0</v>
      </c>
      <c r="AT60" s="29" t="s">
        <v>67</v>
      </c>
      <c r="AU60" s="29" t="s">
        <v>67</v>
      </c>
      <c r="AV60" s="29" t="s">
        <v>67</v>
      </c>
      <c r="AW60" s="29" t="s">
        <v>67</v>
      </c>
      <c r="AX60" s="29" t="s">
        <v>67</v>
      </c>
      <c r="AY60" s="29" t="s">
        <v>67</v>
      </c>
      <c r="AZ60" s="29" t="s">
        <v>67</v>
      </c>
      <c r="BA60" s="29" t="s">
        <v>67</v>
      </c>
      <c r="BB60" s="29" t="s">
        <v>67</v>
      </c>
      <c r="BC60" s="29" t="s">
        <v>67</v>
      </c>
      <c r="BD60" s="29" t="s">
        <v>67</v>
      </c>
      <c r="BE60" s="29" t="s">
        <v>67</v>
      </c>
      <c r="BF60" s="29">
        <v>0.0</v>
      </c>
      <c r="BG60" s="29">
        <v>0.0</v>
      </c>
      <c r="BH60" s="29" t="s">
        <v>67</v>
      </c>
      <c r="BI60" s="29" t="s">
        <v>67</v>
      </c>
      <c r="BJ60" s="29" t="s">
        <v>67</v>
      </c>
      <c r="BK60" s="29" t="s">
        <v>67</v>
      </c>
      <c r="BL60" s="29" t="s">
        <v>67</v>
      </c>
      <c r="BM60" s="29" t="s">
        <v>67</v>
      </c>
      <c r="BN60" s="34" t="str">
        <f t="shared" si="7"/>
        <v>1</v>
      </c>
    </row>
    <row r="61" ht="15.75" customHeight="1">
      <c r="A61" s="11"/>
      <c r="B61" s="11"/>
      <c r="C61" s="11"/>
      <c r="D61" s="11"/>
      <c r="E61" s="11"/>
      <c r="F61" s="29" t="s">
        <v>241</v>
      </c>
      <c r="G61" s="11"/>
      <c r="H61" s="11"/>
      <c r="I61" s="11"/>
      <c r="J61" s="11"/>
      <c r="K61" s="11"/>
      <c r="L61" s="11"/>
      <c r="M61" s="11"/>
      <c r="N61" s="11"/>
      <c r="O61" s="11"/>
      <c r="P61" s="33" t="str">
        <f t="shared" si="15"/>
        <v>2</v>
      </c>
      <c r="Q61" s="33" t="str">
        <f t="shared" si="12"/>
        <v>1</v>
      </c>
      <c r="R61" s="33" t="str">
        <f t="shared" si="13"/>
        <v>1</v>
      </c>
      <c r="S61" s="33" t="str">
        <f t="shared" si="14"/>
        <v>0</v>
      </c>
      <c r="T61" s="29">
        <v>0.0</v>
      </c>
      <c r="U61" s="29">
        <v>0.0</v>
      </c>
      <c r="V61" s="29">
        <v>0.0</v>
      </c>
      <c r="W61" s="29">
        <v>1.0</v>
      </c>
      <c r="X61" s="29">
        <v>0.0</v>
      </c>
      <c r="Y61" s="29">
        <v>0.0</v>
      </c>
      <c r="Z61" s="29" t="s">
        <v>67</v>
      </c>
      <c r="AA61" s="29" t="s">
        <v>67</v>
      </c>
      <c r="AB61" s="29" t="s">
        <v>67</v>
      </c>
      <c r="AC61" s="29" t="s">
        <v>67</v>
      </c>
      <c r="AD61" s="34" t="str">
        <f t="shared" si="5"/>
        <v>1</v>
      </c>
      <c r="AE61" s="29">
        <v>0.0</v>
      </c>
      <c r="AF61" s="29">
        <v>0.0</v>
      </c>
      <c r="AG61" s="29">
        <v>0.0</v>
      </c>
      <c r="AH61" s="29">
        <v>1.0</v>
      </c>
      <c r="AI61" s="29">
        <v>0.0</v>
      </c>
      <c r="AJ61" s="34" t="str">
        <f t="shared" si="6"/>
        <v>1</v>
      </c>
      <c r="AK61" s="29">
        <v>0.0</v>
      </c>
      <c r="AL61" s="29">
        <v>0.0</v>
      </c>
      <c r="AM61" s="29">
        <v>0.0</v>
      </c>
      <c r="AN61" s="29">
        <v>0.0</v>
      </c>
      <c r="AO61" s="29">
        <v>0.0</v>
      </c>
      <c r="AP61" s="29" t="s">
        <v>67</v>
      </c>
      <c r="AQ61" s="29" t="s">
        <v>67</v>
      </c>
      <c r="AR61" s="29" t="s">
        <v>67</v>
      </c>
      <c r="AS61" s="29">
        <v>0.0</v>
      </c>
      <c r="AT61" s="29" t="s">
        <v>67</v>
      </c>
      <c r="AU61" s="29" t="s">
        <v>67</v>
      </c>
      <c r="AV61" s="29" t="s">
        <v>67</v>
      </c>
      <c r="AW61" s="29" t="s">
        <v>67</v>
      </c>
      <c r="AX61" s="29" t="s">
        <v>67</v>
      </c>
      <c r="AY61" s="29" t="s">
        <v>67</v>
      </c>
      <c r="AZ61" s="29" t="s">
        <v>67</v>
      </c>
      <c r="BA61" s="29" t="s">
        <v>67</v>
      </c>
      <c r="BB61" s="29" t="s">
        <v>67</v>
      </c>
      <c r="BC61" s="29" t="s">
        <v>67</v>
      </c>
      <c r="BD61" s="29" t="s">
        <v>67</v>
      </c>
      <c r="BE61" s="29" t="s">
        <v>67</v>
      </c>
      <c r="BF61" s="29">
        <v>0.0</v>
      </c>
      <c r="BG61" s="29">
        <v>0.0</v>
      </c>
      <c r="BH61" s="29" t="s">
        <v>67</v>
      </c>
      <c r="BI61" s="29" t="s">
        <v>67</v>
      </c>
      <c r="BJ61" s="29" t="s">
        <v>67</v>
      </c>
      <c r="BK61" s="29" t="s">
        <v>67</v>
      </c>
      <c r="BL61" s="29" t="s">
        <v>67</v>
      </c>
      <c r="BM61" s="29" t="s">
        <v>67</v>
      </c>
      <c r="BN61" s="34" t="str">
        <f t="shared" si="7"/>
        <v>0</v>
      </c>
    </row>
    <row r="62" ht="15.75" customHeight="1">
      <c r="A62" s="23"/>
      <c r="B62" s="11"/>
      <c r="C62" s="23"/>
      <c r="D62" s="23"/>
      <c r="E62" s="23"/>
      <c r="F62" s="29" t="s">
        <v>242</v>
      </c>
      <c r="G62" s="23"/>
      <c r="H62" s="23"/>
      <c r="I62" s="23"/>
      <c r="J62" s="23"/>
      <c r="K62" s="23"/>
      <c r="L62" s="23"/>
      <c r="M62" s="23"/>
      <c r="N62" s="23"/>
      <c r="O62" s="23"/>
      <c r="P62" s="33" t="str">
        <f t="shared" si="15"/>
        <v>1</v>
      </c>
      <c r="Q62" s="33" t="str">
        <f t="shared" si="12"/>
        <v>0</v>
      </c>
      <c r="R62" s="33" t="str">
        <f t="shared" si="13"/>
        <v>0</v>
      </c>
      <c r="S62" s="33" t="str">
        <f t="shared" si="14"/>
        <v>1</v>
      </c>
      <c r="T62" s="29">
        <v>0.0</v>
      </c>
      <c r="U62" s="29">
        <v>0.0</v>
      </c>
      <c r="V62" s="29">
        <v>0.0</v>
      </c>
      <c r="W62" s="29">
        <v>0.0</v>
      </c>
      <c r="X62" s="29">
        <v>0.0</v>
      </c>
      <c r="Y62" s="29">
        <v>0.0</v>
      </c>
      <c r="Z62" s="29" t="s">
        <v>67</v>
      </c>
      <c r="AA62" s="29" t="s">
        <v>67</v>
      </c>
      <c r="AB62" s="29" t="s">
        <v>67</v>
      </c>
      <c r="AC62" s="29" t="s">
        <v>67</v>
      </c>
      <c r="AD62" s="34" t="str">
        <f t="shared" si="5"/>
        <v>0</v>
      </c>
      <c r="AE62" s="29">
        <v>0.0</v>
      </c>
      <c r="AF62" s="29">
        <v>0.0</v>
      </c>
      <c r="AG62" s="29">
        <v>0.0</v>
      </c>
      <c r="AH62" s="29">
        <v>0.0</v>
      </c>
      <c r="AI62" s="29">
        <v>0.0</v>
      </c>
      <c r="AJ62" s="34" t="str">
        <f t="shared" si="6"/>
        <v>0</v>
      </c>
      <c r="AK62" s="29">
        <v>1.0</v>
      </c>
      <c r="AL62" s="29">
        <v>0.0</v>
      </c>
      <c r="AM62" s="29">
        <v>0.0</v>
      </c>
      <c r="AN62" s="29">
        <v>0.0</v>
      </c>
      <c r="AO62" s="29">
        <v>0.0</v>
      </c>
      <c r="AP62" s="29" t="s">
        <v>67</v>
      </c>
      <c r="AQ62" s="29" t="s">
        <v>67</v>
      </c>
      <c r="AR62" s="29" t="s">
        <v>67</v>
      </c>
      <c r="AS62" s="29">
        <v>0.0</v>
      </c>
      <c r="AT62" s="29" t="s">
        <v>67</v>
      </c>
      <c r="AU62" s="29" t="s">
        <v>67</v>
      </c>
      <c r="AV62" s="29" t="s">
        <v>67</v>
      </c>
      <c r="AW62" s="29" t="s">
        <v>67</v>
      </c>
      <c r="AX62" s="29" t="s">
        <v>67</v>
      </c>
      <c r="AY62" s="29" t="s">
        <v>67</v>
      </c>
      <c r="AZ62" s="29" t="s">
        <v>67</v>
      </c>
      <c r="BA62" s="29" t="s">
        <v>67</v>
      </c>
      <c r="BB62" s="29" t="s">
        <v>67</v>
      </c>
      <c r="BC62" s="29" t="s">
        <v>67</v>
      </c>
      <c r="BD62" s="29" t="s">
        <v>67</v>
      </c>
      <c r="BE62" s="29" t="s">
        <v>67</v>
      </c>
      <c r="BF62" s="29">
        <v>0.0</v>
      </c>
      <c r="BG62" s="29">
        <v>0.0</v>
      </c>
      <c r="BH62" s="29" t="s">
        <v>67</v>
      </c>
      <c r="BI62" s="29" t="s">
        <v>67</v>
      </c>
      <c r="BJ62" s="29" t="s">
        <v>67</v>
      </c>
      <c r="BK62" s="29" t="s">
        <v>67</v>
      </c>
      <c r="BL62" s="29" t="s">
        <v>67</v>
      </c>
      <c r="BM62" s="29" t="s">
        <v>67</v>
      </c>
      <c r="BN62" s="34" t="str">
        <f t="shared" si="7"/>
        <v>1</v>
      </c>
    </row>
    <row r="63" ht="15.75" customHeight="1">
      <c r="A63" s="31">
        <v>30.0</v>
      </c>
      <c r="B63" s="25" t="s">
        <v>243</v>
      </c>
      <c r="C63" s="26" t="s">
        <v>244</v>
      </c>
      <c r="D63" s="27" t="s">
        <v>245</v>
      </c>
      <c r="E63" s="28">
        <v>3130.0</v>
      </c>
      <c r="F63" s="29" t="s">
        <v>246</v>
      </c>
      <c r="G63" s="29">
        <v>3.0</v>
      </c>
      <c r="H63" s="28" t="s">
        <v>247</v>
      </c>
      <c r="I63" s="28" t="s">
        <v>248</v>
      </c>
      <c r="J63" s="28">
        <v>13.0</v>
      </c>
      <c r="K63" s="28">
        <v>8.0</v>
      </c>
      <c r="L63" s="31">
        <v>8.0</v>
      </c>
      <c r="M63" s="31"/>
      <c r="N63" s="31"/>
      <c r="O63" s="31"/>
      <c r="P63" s="33" t="s">
        <v>88</v>
      </c>
      <c r="Q63" s="33" t="str">
        <f t="shared" si="12"/>
        <v>0</v>
      </c>
      <c r="R63" s="33" t="str">
        <f t="shared" si="13"/>
        <v>0</v>
      </c>
      <c r="S63" s="33" t="str">
        <f t="shared" si="14"/>
        <v>0</v>
      </c>
      <c r="T63" s="29" t="s">
        <v>67</v>
      </c>
      <c r="U63" s="29" t="s">
        <v>67</v>
      </c>
      <c r="V63" s="29" t="s">
        <v>67</v>
      </c>
      <c r="W63" s="29" t="s">
        <v>67</v>
      </c>
      <c r="X63" s="29" t="s">
        <v>67</v>
      </c>
      <c r="Y63" s="29" t="s">
        <v>67</v>
      </c>
      <c r="Z63" s="29">
        <v>0.0</v>
      </c>
      <c r="AA63" s="29" t="s">
        <v>67</v>
      </c>
      <c r="AB63" s="29">
        <v>0.0</v>
      </c>
      <c r="AC63" s="29" t="s">
        <v>67</v>
      </c>
      <c r="AD63" s="34" t="str">
        <f t="shared" si="5"/>
        <v>0</v>
      </c>
      <c r="AE63" s="29" t="s">
        <v>67</v>
      </c>
      <c r="AF63" s="29" t="s">
        <v>67</v>
      </c>
      <c r="AG63" s="29" t="s">
        <v>67</v>
      </c>
      <c r="AH63" s="29" t="s">
        <v>67</v>
      </c>
      <c r="AI63" s="29" t="s">
        <v>67</v>
      </c>
      <c r="AJ63" s="34" t="str">
        <f t="shared" si="6"/>
        <v>0</v>
      </c>
      <c r="AK63" s="29" t="s">
        <v>67</v>
      </c>
      <c r="AL63" s="29" t="s">
        <v>67</v>
      </c>
      <c r="AM63" s="29" t="s">
        <v>67</v>
      </c>
      <c r="AN63" s="29" t="s">
        <v>67</v>
      </c>
      <c r="AO63" s="29" t="s">
        <v>67</v>
      </c>
      <c r="AP63" s="29">
        <v>0.0</v>
      </c>
      <c r="AQ63" s="29" t="s">
        <v>67</v>
      </c>
      <c r="AR63" s="29" t="s">
        <v>67</v>
      </c>
      <c r="AS63" s="29" t="s">
        <v>67</v>
      </c>
      <c r="AT63" s="29" t="s">
        <v>67</v>
      </c>
      <c r="AU63" s="29" t="s">
        <v>67</v>
      </c>
      <c r="AV63" s="29" t="s">
        <v>67</v>
      </c>
      <c r="AW63" s="29" t="s">
        <v>67</v>
      </c>
      <c r="AX63" s="29" t="s">
        <v>67</v>
      </c>
      <c r="AY63" s="29" t="s">
        <v>67</v>
      </c>
      <c r="AZ63" s="29" t="s">
        <v>67</v>
      </c>
      <c r="BA63" s="29" t="s">
        <v>67</v>
      </c>
      <c r="BB63" s="29" t="s">
        <v>67</v>
      </c>
      <c r="BC63" s="29" t="s">
        <v>67</v>
      </c>
      <c r="BD63" s="29" t="s">
        <v>67</v>
      </c>
      <c r="BE63" s="29" t="s">
        <v>67</v>
      </c>
      <c r="BF63" s="29" t="s">
        <v>67</v>
      </c>
      <c r="BG63" s="29" t="s">
        <v>67</v>
      </c>
      <c r="BH63" s="29" t="s">
        <v>67</v>
      </c>
      <c r="BI63" s="29" t="s">
        <v>67</v>
      </c>
      <c r="BJ63" s="29" t="s">
        <v>67</v>
      </c>
      <c r="BK63" s="29" t="s">
        <v>67</v>
      </c>
      <c r="BL63" s="29" t="s">
        <v>67</v>
      </c>
      <c r="BM63" s="29" t="s">
        <v>67</v>
      </c>
      <c r="BN63" s="34" t="str">
        <f t="shared" si="7"/>
        <v>0</v>
      </c>
    </row>
    <row r="64" ht="15.75" customHeight="1">
      <c r="A64" s="23"/>
      <c r="B64" s="23"/>
      <c r="C64" s="23"/>
      <c r="D64" s="23"/>
      <c r="E64" s="23"/>
      <c r="F64" s="29" t="s">
        <v>249</v>
      </c>
      <c r="G64" s="29" t="s">
        <v>250</v>
      </c>
      <c r="H64" s="23"/>
      <c r="I64" s="23"/>
      <c r="J64" s="23"/>
      <c r="K64" s="23"/>
      <c r="L64" s="23"/>
      <c r="M64" s="23"/>
      <c r="N64" s="23"/>
      <c r="O64" s="23"/>
      <c r="P64" s="33" t="s">
        <v>88</v>
      </c>
      <c r="Q64" s="33" t="str">
        <f t="shared" si="12"/>
        <v>0</v>
      </c>
      <c r="R64" s="33" t="str">
        <f t="shared" si="13"/>
        <v>0</v>
      </c>
      <c r="S64" s="33" t="str">
        <f t="shared" si="14"/>
        <v>0</v>
      </c>
      <c r="T64" s="29" t="s">
        <v>67</v>
      </c>
      <c r="U64" s="29" t="s">
        <v>67</v>
      </c>
      <c r="V64" s="29" t="s">
        <v>67</v>
      </c>
      <c r="W64" s="29" t="s">
        <v>67</v>
      </c>
      <c r="X64" s="29" t="s">
        <v>67</v>
      </c>
      <c r="Y64" s="29" t="s">
        <v>67</v>
      </c>
      <c r="Z64" s="29">
        <v>0.0</v>
      </c>
      <c r="AA64" s="29" t="s">
        <v>67</v>
      </c>
      <c r="AB64" s="29">
        <v>0.0</v>
      </c>
      <c r="AC64" s="29" t="s">
        <v>67</v>
      </c>
      <c r="AD64" s="34" t="str">
        <f t="shared" si="5"/>
        <v>0</v>
      </c>
      <c r="AE64" s="29" t="s">
        <v>67</v>
      </c>
      <c r="AF64" s="29" t="s">
        <v>67</v>
      </c>
      <c r="AG64" s="29" t="s">
        <v>67</v>
      </c>
      <c r="AH64" s="29" t="s">
        <v>67</v>
      </c>
      <c r="AI64" s="29" t="s">
        <v>67</v>
      </c>
      <c r="AJ64" s="34" t="str">
        <f t="shared" si="6"/>
        <v>0</v>
      </c>
      <c r="AK64" s="29" t="s">
        <v>67</v>
      </c>
      <c r="AL64" s="29" t="s">
        <v>67</v>
      </c>
      <c r="AM64" s="29" t="s">
        <v>67</v>
      </c>
      <c r="AN64" s="29" t="s">
        <v>67</v>
      </c>
      <c r="AO64" s="29" t="s">
        <v>67</v>
      </c>
      <c r="AP64" s="29">
        <v>0.0</v>
      </c>
      <c r="AQ64" s="29" t="s">
        <v>67</v>
      </c>
      <c r="AR64" s="29" t="s">
        <v>67</v>
      </c>
      <c r="AS64" s="29" t="s">
        <v>67</v>
      </c>
      <c r="AT64" s="29" t="s">
        <v>67</v>
      </c>
      <c r="AU64" s="29" t="s">
        <v>67</v>
      </c>
      <c r="AV64" s="29" t="s">
        <v>67</v>
      </c>
      <c r="AW64" s="29" t="s">
        <v>67</v>
      </c>
      <c r="AX64" s="29" t="s">
        <v>67</v>
      </c>
      <c r="AY64" s="29" t="s">
        <v>67</v>
      </c>
      <c r="AZ64" s="29" t="s">
        <v>67</v>
      </c>
      <c r="BA64" s="29" t="s">
        <v>67</v>
      </c>
      <c r="BB64" s="29" t="s">
        <v>67</v>
      </c>
      <c r="BC64" s="29" t="s">
        <v>67</v>
      </c>
      <c r="BD64" s="29" t="s">
        <v>67</v>
      </c>
      <c r="BE64" s="29" t="s">
        <v>67</v>
      </c>
      <c r="BF64" s="29" t="s">
        <v>67</v>
      </c>
      <c r="BG64" s="29" t="s">
        <v>67</v>
      </c>
      <c r="BH64" s="29" t="s">
        <v>67</v>
      </c>
      <c r="BI64" s="29" t="s">
        <v>67</v>
      </c>
      <c r="BJ64" s="29" t="s">
        <v>67</v>
      </c>
      <c r="BK64" s="29" t="s">
        <v>67</v>
      </c>
      <c r="BL64" s="29" t="s">
        <v>67</v>
      </c>
      <c r="BM64" s="29" t="s">
        <v>67</v>
      </c>
      <c r="BN64" s="34" t="str">
        <f t="shared" si="7"/>
        <v>0</v>
      </c>
    </row>
    <row r="65" ht="15.75" customHeight="1">
      <c r="A65" s="28">
        <v>31.0</v>
      </c>
      <c r="B65" s="25" t="s">
        <v>251</v>
      </c>
      <c r="C65" s="52" t="s">
        <v>252</v>
      </c>
      <c r="D65" s="48" t="s">
        <v>253</v>
      </c>
      <c r="E65" s="28">
        <v>3130.0</v>
      </c>
      <c r="F65" s="38" t="s">
        <v>254</v>
      </c>
      <c r="G65" s="29" t="s">
        <v>255</v>
      </c>
      <c r="H65" s="28" t="s">
        <v>256</v>
      </c>
      <c r="I65" s="28" t="s">
        <v>190</v>
      </c>
      <c r="J65" s="28">
        <v>891.0</v>
      </c>
      <c r="K65" s="28">
        <v>278.0</v>
      </c>
      <c r="L65" s="31">
        <v>65.0</v>
      </c>
      <c r="M65" s="31"/>
      <c r="N65" s="31"/>
      <c r="O65" s="31"/>
      <c r="P65" s="33" t="str">
        <f t="shared" ref="P65:P68" si="16">sum(Q65:S65)</f>
        <v>0</v>
      </c>
      <c r="Q65" s="33" t="str">
        <f t="shared" si="12"/>
        <v>0</v>
      </c>
      <c r="R65" s="33" t="str">
        <f t="shared" si="13"/>
        <v>0</v>
      </c>
      <c r="S65" s="33" t="str">
        <f t="shared" si="14"/>
        <v>0</v>
      </c>
      <c r="T65" s="29">
        <v>0.0</v>
      </c>
      <c r="U65" s="29">
        <v>0.0</v>
      </c>
      <c r="V65" s="29">
        <v>0.0</v>
      </c>
      <c r="W65" s="29">
        <v>0.0</v>
      </c>
      <c r="X65" s="29">
        <v>0.0</v>
      </c>
      <c r="Y65" s="29">
        <v>0.0</v>
      </c>
      <c r="Z65" s="29" t="s">
        <v>67</v>
      </c>
      <c r="AA65" s="29" t="s">
        <v>67</v>
      </c>
      <c r="AB65" s="29" t="s">
        <v>67</v>
      </c>
      <c r="AC65" s="29" t="s">
        <v>67</v>
      </c>
      <c r="AD65" s="34" t="str">
        <f t="shared" si="5"/>
        <v>0</v>
      </c>
      <c r="AE65" s="29">
        <v>0.0</v>
      </c>
      <c r="AF65" s="29">
        <v>0.0</v>
      </c>
      <c r="AG65" s="29">
        <v>0.0</v>
      </c>
      <c r="AH65" s="29">
        <v>0.0</v>
      </c>
      <c r="AI65" s="29">
        <v>0.0</v>
      </c>
      <c r="AJ65" s="34" t="str">
        <f t="shared" si="6"/>
        <v>0</v>
      </c>
      <c r="AK65" s="29">
        <v>0.0</v>
      </c>
      <c r="AL65" s="29">
        <v>0.0</v>
      </c>
      <c r="AM65" s="29">
        <v>0.0</v>
      </c>
      <c r="AN65" s="29">
        <v>0.0</v>
      </c>
      <c r="AO65" s="29">
        <v>0.0</v>
      </c>
      <c r="AP65" s="29" t="s">
        <v>67</v>
      </c>
      <c r="AQ65" s="29" t="s">
        <v>67</v>
      </c>
      <c r="AR65" s="29" t="s">
        <v>67</v>
      </c>
      <c r="AS65" s="29" t="s">
        <v>67</v>
      </c>
      <c r="AT65" s="29" t="s">
        <v>67</v>
      </c>
      <c r="AU65" s="29" t="s">
        <v>67</v>
      </c>
      <c r="AV65" s="29" t="s">
        <v>67</v>
      </c>
      <c r="AW65" s="29" t="s">
        <v>67</v>
      </c>
      <c r="AX65" s="29" t="s">
        <v>67</v>
      </c>
      <c r="AY65" s="29" t="s">
        <v>67</v>
      </c>
      <c r="AZ65" s="29" t="s">
        <v>67</v>
      </c>
      <c r="BA65" s="29" t="s">
        <v>67</v>
      </c>
      <c r="BB65" s="29" t="s">
        <v>67</v>
      </c>
      <c r="BC65" s="29" t="s">
        <v>67</v>
      </c>
      <c r="BD65" s="29" t="s">
        <v>67</v>
      </c>
      <c r="BE65" s="29" t="s">
        <v>67</v>
      </c>
      <c r="BF65" s="29">
        <v>0.0</v>
      </c>
      <c r="BG65" s="29">
        <v>0.0</v>
      </c>
      <c r="BH65" s="29" t="s">
        <v>67</v>
      </c>
      <c r="BI65" s="29" t="s">
        <v>67</v>
      </c>
      <c r="BJ65" s="29" t="s">
        <v>67</v>
      </c>
      <c r="BK65" s="29" t="s">
        <v>67</v>
      </c>
      <c r="BL65" s="29" t="s">
        <v>67</v>
      </c>
      <c r="BM65" s="29" t="s">
        <v>67</v>
      </c>
      <c r="BN65" s="34" t="str">
        <f t="shared" si="7"/>
        <v>0</v>
      </c>
    </row>
    <row r="66" ht="15.75" customHeight="1">
      <c r="A66" s="11"/>
      <c r="B66" s="11"/>
      <c r="C66" s="11"/>
      <c r="D66" s="11"/>
      <c r="E66" s="11"/>
      <c r="F66" s="38" t="s">
        <v>257</v>
      </c>
      <c r="G66" s="38" t="s">
        <v>258</v>
      </c>
      <c r="H66" s="11"/>
      <c r="I66" s="11"/>
      <c r="J66" s="11"/>
      <c r="K66" s="11"/>
      <c r="L66" s="11"/>
      <c r="M66" s="11"/>
      <c r="N66" s="11"/>
      <c r="O66" s="11"/>
      <c r="P66" s="33" t="str">
        <f t="shared" si="16"/>
        <v>0</v>
      </c>
      <c r="Q66" s="33" t="str">
        <f t="shared" si="12"/>
        <v>0</v>
      </c>
      <c r="R66" s="33" t="str">
        <f t="shared" si="13"/>
        <v>0</v>
      </c>
      <c r="S66" s="33" t="str">
        <f t="shared" si="14"/>
        <v>0</v>
      </c>
      <c r="T66" s="29">
        <v>0.0</v>
      </c>
      <c r="U66" s="29">
        <v>0.0</v>
      </c>
      <c r="V66" s="29">
        <v>0.0</v>
      </c>
      <c r="W66" s="29">
        <v>0.0</v>
      </c>
      <c r="X66" s="29">
        <v>0.0</v>
      </c>
      <c r="Y66" s="29">
        <v>0.0</v>
      </c>
      <c r="Z66" s="29" t="s">
        <v>67</v>
      </c>
      <c r="AA66" s="29" t="s">
        <v>67</v>
      </c>
      <c r="AB66" s="29" t="s">
        <v>67</v>
      </c>
      <c r="AC66" s="29" t="s">
        <v>67</v>
      </c>
      <c r="AD66" s="34" t="str">
        <f t="shared" si="5"/>
        <v>0</v>
      </c>
      <c r="AE66" s="29">
        <v>0.0</v>
      </c>
      <c r="AF66" s="29">
        <v>0.0</v>
      </c>
      <c r="AG66" s="29">
        <v>0.0</v>
      </c>
      <c r="AH66" s="29">
        <v>0.0</v>
      </c>
      <c r="AI66" s="29">
        <v>0.0</v>
      </c>
      <c r="AJ66" s="34" t="str">
        <f t="shared" si="6"/>
        <v>0</v>
      </c>
      <c r="AK66" s="29">
        <v>0.0</v>
      </c>
      <c r="AL66" s="29">
        <v>0.0</v>
      </c>
      <c r="AM66" s="29">
        <v>0.0</v>
      </c>
      <c r="AN66" s="29">
        <v>0.0</v>
      </c>
      <c r="AO66" s="29">
        <v>0.0</v>
      </c>
      <c r="AP66" s="29" t="s">
        <v>67</v>
      </c>
      <c r="AQ66" s="29" t="s">
        <v>67</v>
      </c>
      <c r="AR66" s="29" t="s">
        <v>67</v>
      </c>
      <c r="AS66" s="29" t="s">
        <v>67</v>
      </c>
      <c r="AT66" s="29" t="s">
        <v>67</v>
      </c>
      <c r="AU66" s="29" t="s">
        <v>67</v>
      </c>
      <c r="AV66" s="29" t="s">
        <v>67</v>
      </c>
      <c r="AW66" s="29" t="s">
        <v>67</v>
      </c>
      <c r="AX66" s="29" t="s">
        <v>67</v>
      </c>
      <c r="AY66" s="29" t="s">
        <v>67</v>
      </c>
      <c r="AZ66" s="29" t="s">
        <v>67</v>
      </c>
      <c r="BA66" s="29" t="s">
        <v>67</v>
      </c>
      <c r="BB66" s="29" t="s">
        <v>67</v>
      </c>
      <c r="BC66" s="29" t="s">
        <v>67</v>
      </c>
      <c r="BD66" s="29" t="s">
        <v>67</v>
      </c>
      <c r="BE66" s="29" t="s">
        <v>67</v>
      </c>
      <c r="BF66" s="29">
        <v>0.0</v>
      </c>
      <c r="BG66" s="29">
        <v>0.0</v>
      </c>
      <c r="BH66" s="29" t="s">
        <v>67</v>
      </c>
      <c r="BI66" s="29" t="s">
        <v>67</v>
      </c>
      <c r="BJ66" s="29" t="s">
        <v>67</v>
      </c>
      <c r="BK66" s="29" t="s">
        <v>67</v>
      </c>
      <c r="BL66" s="29" t="s">
        <v>67</v>
      </c>
      <c r="BM66" s="29" t="s">
        <v>67</v>
      </c>
      <c r="BN66" s="34" t="str">
        <f t="shared" si="7"/>
        <v>0</v>
      </c>
    </row>
    <row r="67" ht="15.75" customHeight="1">
      <c r="A67" s="11"/>
      <c r="B67" s="11"/>
      <c r="C67" s="11"/>
      <c r="D67" s="11"/>
      <c r="E67" s="11"/>
      <c r="F67" s="38" t="s">
        <v>259</v>
      </c>
      <c r="G67" s="38" t="s">
        <v>260</v>
      </c>
      <c r="H67" s="11"/>
      <c r="I67" s="11"/>
      <c r="J67" s="11"/>
      <c r="K67" s="11"/>
      <c r="L67" s="11"/>
      <c r="M67" s="11"/>
      <c r="N67" s="11"/>
      <c r="O67" s="11"/>
      <c r="P67" s="33" t="str">
        <f t="shared" si="16"/>
        <v>0</v>
      </c>
      <c r="Q67" s="33" t="str">
        <f t="shared" si="12"/>
        <v>0</v>
      </c>
      <c r="R67" s="33" t="str">
        <f t="shared" si="13"/>
        <v>0</v>
      </c>
      <c r="S67" s="33" t="str">
        <f t="shared" si="14"/>
        <v>0</v>
      </c>
      <c r="T67" s="29">
        <v>0.0</v>
      </c>
      <c r="U67" s="29">
        <v>0.0</v>
      </c>
      <c r="V67" s="29">
        <v>0.0</v>
      </c>
      <c r="W67" s="29">
        <v>0.0</v>
      </c>
      <c r="X67" s="29">
        <v>0.0</v>
      </c>
      <c r="Y67" s="29">
        <v>0.0</v>
      </c>
      <c r="Z67" s="29" t="s">
        <v>67</v>
      </c>
      <c r="AA67" s="29" t="s">
        <v>67</v>
      </c>
      <c r="AB67" s="29" t="s">
        <v>67</v>
      </c>
      <c r="AC67" s="29" t="s">
        <v>67</v>
      </c>
      <c r="AD67" s="34" t="str">
        <f t="shared" si="5"/>
        <v>0</v>
      </c>
      <c r="AE67" s="29">
        <v>0.0</v>
      </c>
      <c r="AF67" s="29">
        <v>0.0</v>
      </c>
      <c r="AG67" s="29">
        <v>0.0</v>
      </c>
      <c r="AH67" s="29">
        <v>0.0</v>
      </c>
      <c r="AI67" s="29">
        <v>0.0</v>
      </c>
      <c r="AJ67" s="34" t="str">
        <f t="shared" si="6"/>
        <v>0</v>
      </c>
      <c r="AK67" s="29">
        <v>0.0</v>
      </c>
      <c r="AL67" s="29">
        <v>0.0</v>
      </c>
      <c r="AM67" s="29">
        <v>0.0</v>
      </c>
      <c r="AN67" s="29">
        <v>0.0</v>
      </c>
      <c r="AO67" s="29">
        <v>0.0</v>
      </c>
      <c r="AP67" s="29" t="s">
        <v>67</v>
      </c>
      <c r="AQ67" s="29" t="s">
        <v>67</v>
      </c>
      <c r="AR67" s="29" t="s">
        <v>67</v>
      </c>
      <c r="AS67" s="29" t="s">
        <v>67</v>
      </c>
      <c r="AT67" s="29" t="s">
        <v>67</v>
      </c>
      <c r="AU67" s="29" t="s">
        <v>67</v>
      </c>
      <c r="AV67" s="29" t="s">
        <v>67</v>
      </c>
      <c r="AW67" s="29" t="s">
        <v>67</v>
      </c>
      <c r="AX67" s="29" t="s">
        <v>67</v>
      </c>
      <c r="AY67" s="29" t="s">
        <v>67</v>
      </c>
      <c r="AZ67" s="29" t="s">
        <v>67</v>
      </c>
      <c r="BA67" s="29" t="s">
        <v>67</v>
      </c>
      <c r="BB67" s="29" t="s">
        <v>67</v>
      </c>
      <c r="BC67" s="29" t="s">
        <v>67</v>
      </c>
      <c r="BD67" s="29" t="s">
        <v>67</v>
      </c>
      <c r="BE67" s="29" t="s">
        <v>67</v>
      </c>
      <c r="BF67" s="29">
        <v>0.0</v>
      </c>
      <c r="BG67" s="29">
        <v>0.0</v>
      </c>
      <c r="BH67" s="29" t="s">
        <v>67</v>
      </c>
      <c r="BI67" s="29" t="s">
        <v>67</v>
      </c>
      <c r="BJ67" s="29" t="s">
        <v>67</v>
      </c>
      <c r="BK67" s="29" t="s">
        <v>67</v>
      </c>
      <c r="BL67" s="29" t="s">
        <v>67</v>
      </c>
      <c r="BM67" s="29" t="s">
        <v>67</v>
      </c>
      <c r="BN67" s="34" t="str">
        <f t="shared" si="7"/>
        <v>0</v>
      </c>
    </row>
    <row r="68" ht="15.75" customHeight="1">
      <c r="A68" s="23"/>
      <c r="B68" s="11"/>
      <c r="C68" s="23"/>
      <c r="D68" s="23"/>
      <c r="E68" s="23"/>
      <c r="F68" s="38" t="s">
        <v>261</v>
      </c>
      <c r="G68" s="38" t="s">
        <v>262</v>
      </c>
      <c r="H68" s="23"/>
      <c r="I68" s="23"/>
      <c r="J68" s="23"/>
      <c r="K68" s="23"/>
      <c r="L68" s="23"/>
      <c r="M68" s="23"/>
      <c r="N68" s="23"/>
      <c r="O68" s="23"/>
      <c r="P68" s="33" t="str">
        <f t="shared" si="16"/>
        <v>0</v>
      </c>
      <c r="Q68" s="33" t="str">
        <f t="shared" si="12"/>
        <v>0</v>
      </c>
      <c r="R68" s="33" t="str">
        <f t="shared" si="13"/>
        <v>0</v>
      </c>
      <c r="S68" s="33" t="str">
        <f t="shared" si="14"/>
        <v>0</v>
      </c>
      <c r="T68" s="29">
        <v>0.0</v>
      </c>
      <c r="U68" s="29">
        <v>0.0</v>
      </c>
      <c r="V68" s="29">
        <v>0.0</v>
      </c>
      <c r="W68" s="29">
        <v>0.0</v>
      </c>
      <c r="X68" s="29">
        <v>0.0</v>
      </c>
      <c r="Y68" s="29">
        <v>0.0</v>
      </c>
      <c r="Z68" s="29" t="s">
        <v>67</v>
      </c>
      <c r="AA68" s="29" t="s">
        <v>67</v>
      </c>
      <c r="AB68" s="29" t="s">
        <v>67</v>
      </c>
      <c r="AC68" s="29" t="s">
        <v>67</v>
      </c>
      <c r="AD68" s="34" t="str">
        <f t="shared" si="5"/>
        <v>0</v>
      </c>
      <c r="AE68" s="29">
        <v>0.0</v>
      </c>
      <c r="AF68" s="29">
        <v>0.0</v>
      </c>
      <c r="AG68" s="29">
        <v>0.0</v>
      </c>
      <c r="AH68" s="29">
        <v>0.0</v>
      </c>
      <c r="AI68" s="29">
        <v>0.0</v>
      </c>
      <c r="AJ68" s="34" t="str">
        <f t="shared" si="6"/>
        <v>0</v>
      </c>
      <c r="AK68" s="29">
        <v>0.0</v>
      </c>
      <c r="AL68" s="29">
        <v>0.0</v>
      </c>
      <c r="AM68" s="29">
        <v>0.0</v>
      </c>
      <c r="AN68" s="29">
        <v>0.0</v>
      </c>
      <c r="AO68" s="29">
        <v>0.0</v>
      </c>
      <c r="AP68" s="29" t="s">
        <v>67</v>
      </c>
      <c r="AQ68" s="29" t="s">
        <v>67</v>
      </c>
      <c r="AR68" s="29" t="s">
        <v>67</v>
      </c>
      <c r="AS68" s="29" t="s">
        <v>67</v>
      </c>
      <c r="AT68" s="29" t="s">
        <v>67</v>
      </c>
      <c r="AU68" s="29" t="s">
        <v>67</v>
      </c>
      <c r="AV68" s="29" t="s">
        <v>67</v>
      </c>
      <c r="AW68" s="29" t="s">
        <v>67</v>
      </c>
      <c r="AX68" s="29" t="s">
        <v>67</v>
      </c>
      <c r="AY68" s="29" t="s">
        <v>67</v>
      </c>
      <c r="AZ68" s="29" t="s">
        <v>67</v>
      </c>
      <c r="BA68" s="29" t="s">
        <v>67</v>
      </c>
      <c r="BB68" s="29" t="s">
        <v>67</v>
      </c>
      <c r="BC68" s="29" t="s">
        <v>67</v>
      </c>
      <c r="BD68" s="29" t="s">
        <v>67</v>
      </c>
      <c r="BE68" s="29" t="s">
        <v>67</v>
      </c>
      <c r="BF68" s="29">
        <v>0.0</v>
      </c>
      <c r="BG68" s="29">
        <v>0.0</v>
      </c>
      <c r="BH68" s="29" t="s">
        <v>67</v>
      </c>
      <c r="BI68" s="29" t="s">
        <v>67</v>
      </c>
      <c r="BJ68" s="29" t="s">
        <v>67</v>
      </c>
      <c r="BK68" s="29" t="s">
        <v>67</v>
      </c>
      <c r="BL68" s="29" t="s">
        <v>67</v>
      </c>
      <c r="BM68" s="29" t="s">
        <v>67</v>
      </c>
      <c r="BN68" s="34" t="str">
        <f t="shared" si="7"/>
        <v>0</v>
      </c>
    </row>
    <row r="69" ht="15.75" customHeight="1">
      <c r="A69" s="38">
        <v>32.0</v>
      </c>
      <c r="B69" s="25" t="s">
        <v>263</v>
      </c>
      <c r="C69" s="58" t="s">
        <v>264</v>
      </c>
      <c r="D69" s="53" t="s">
        <v>265</v>
      </c>
      <c r="E69" s="38">
        <v>3130.0</v>
      </c>
      <c r="F69" s="38" t="s">
        <v>266</v>
      </c>
      <c r="G69" s="38">
        <v>5.0</v>
      </c>
      <c r="H69" s="38" t="s">
        <v>149</v>
      </c>
      <c r="I69" s="29" t="s">
        <v>267</v>
      </c>
      <c r="J69" s="38">
        <v>15.0</v>
      </c>
      <c r="K69" s="38">
        <v>13.0</v>
      </c>
      <c r="L69" s="38">
        <v>10.0</v>
      </c>
      <c r="M69" s="38">
        <v>1.0</v>
      </c>
      <c r="N69" s="38"/>
      <c r="O69" s="38"/>
      <c r="P69" s="33" t="s">
        <v>88</v>
      </c>
      <c r="Q69" s="33" t="str">
        <f t="shared" si="12"/>
        <v>0</v>
      </c>
      <c r="R69" s="33" t="str">
        <f t="shared" si="13"/>
        <v>0</v>
      </c>
      <c r="S69" s="33" t="str">
        <f t="shared" si="14"/>
        <v>0</v>
      </c>
      <c r="T69" s="38" t="s">
        <v>67</v>
      </c>
      <c r="U69" s="38" t="s">
        <v>67</v>
      </c>
      <c r="V69" s="38" t="s">
        <v>67</v>
      </c>
      <c r="W69" s="38" t="s">
        <v>67</v>
      </c>
      <c r="X69" s="38" t="s">
        <v>67</v>
      </c>
      <c r="Y69" s="38" t="s">
        <v>67</v>
      </c>
      <c r="Z69" s="38" t="s">
        <v>67</v>
      </c>
      <c r="AA69" s="38" t="s">
        <v>67</v>
      </c>
      <c r="AB69" s="38">
        <v>0.0</v>
      </c>
      <c r="AC69" s="38">
        <v>0.0</v>
      </c>
      <c r="AD69" s="34" t="str">
        <f t="shared" si="5"/>
        <v>0</v>
      </c>
      <c r="AE69" s="38" t="s">
        <v>67</v>
      </c>
      <c r="AF69" s="38" t="s">
        <v>67</v>
      </c>
      <c r="AG69" s="38" t="s">
        <v>67</v>
      </c>
      <c r="AH69" s="38" t="s">
        <v>67</v>
      </c>
      <c r="AI69" s="38" t="s">
        <v>67</v>
      </c>
      <c r="AJ69" s="34" t="str">
        <f t="shared" si="6"/>
        <v>0</v>
      </c>
      <c r="AK69" s="38" t="s">
        <v>67</v>
      </c>
      <c r="AL69" s="38" t="s">
        <v>67</v>
      </c>
      <c r="AM69" s="38" t="s">
        <v>67</v>
      </c>
      <c r="AN69" s="38" t="s">
        <v>67</v>
      </c>
      <c r="AO69" s="38" t="s">
        <v>67</v>
      </c>
      <c r="AP69" s="29">
        <v>0.0</v>
      </c>
      <c r="AQ69" s="38" t="s">
        <v>67</v>
      </c>
      <c r="AR69" s="38">
        <v>0.0</v>
      </c>
      <c r="AS69" s="38" t="s">
        <v>67</v>
      </c>
      <c r="AT69" s="38" t="s">
        <v>67</v>
      </c>
      <c r="AU69" s="38" t="s">
        <v>67</v>
      </c>
      <c r="AV69" s="38" t="s">
        <v>67</v>
      </c>
      <c r="AW69" s="38" t="s">
        <v>67</v>
      </c>
      <c r="AX69" s="38" t="s">
        <v>67</v>
      </c>
      <c r="AY69" s="38" t="s">
        <v>67</v>
      </c>
      <c r="AZ69" s="38" t="s">
        <v>67</v>
      </c>
      <c r="BA69" s="38" t="s">
        <v>67</v>
      </c>
      <c r="BB69" s="38" t="s">
        <v>67</v>
      </c>
      <c r="BC69" s="38" t="s">
        <v>67</v>
      </c>
      <c r="BD69" s="38" t="s">
        <v>67</v>
      </c>
      <c r="BE69" s="38" t="s">
        <v>67</v>
      </c>
      <c r="BF69" s="38" t="s">
        <v>67</v>
      </c>
      <c r="BG69" s="38" t="s">
        <v>67</v>
      </c>
      <c r="BH69" s="38" t="s">
        <v>67</v>
      </c>
      <c r="BI69" s="38" t="s">
        <v>67</v>
      </c>
      <c r="BJ69" s="38" t="s">
        <v>67</v>
      </c>
      <c r="BK69" s="38" t="s">
        <v>67</v>
      </c>
      <c r="BL69" s="38" t="s">
        <v>67</v>
      </c>
      <c r="BM69" s="38" t="s">
        <v>67</v>
      </c>
      <c r="BN69" s="34" t="str">
        <f t="shared" si="7"/>
        <v>0</v>
      </c>
    </row>
    <row r="70" ht="15.75" customHeight="1">
      <c r="A70" s="38">
        <v>33.0</v>
      </c>
      <c r="B70" s="25" t="s">
        <v>268</v>
      </c>
      <c r="C70" s="58" t="s">
        <v>269</v>
      </c>
      <c r="D70" s="53" t="s">
        <v>265</v>
      </c>
      <c r="E70" s="38">
        <v>3130.0</v>
      </c>
      <c r="F70" s="38" t="s">
        <v>270</v>
      </c>
      <c r="G70" s="38">
        <v>4.0</v>
      </c>
      <c r="H70" s="38" t="s">
        <v>271</v>
      </c>
      <c r="I70" s="29" t="s">
        <v>272</v>
      </c>
      <c r="J70" s="38">
        <v>770.0</v>
      </c>
      <c r="K70" s="38">
        <v>75.0</v>
      </c>
      <c r="L70" s="38">
        <v>10.0</v>
      </c>
      <c r="M70" s="38"/>
      <c r="N70" s="38"/>
      <c r="O70" s="38"/>
      <c r="P70" s="33" t="s">
        <v>88</v>
      </c>
      <c r="Q70" s="33" t="str">
        <f t="shared" si="12"/>
        <v>0</v>
      </c>
      <c r="R70" s="33" t="str">
        <f t="shared" si="13"/>
        <v>0</v>
      </c>
      <c r="S70" s="33" t="str">
        <f t="shared" si="14"/>
        <v>0</v>
      </c>
      <c r="T70" s="38">
        <v>0.0</v>
      </c>
      <c r="U70" s="38">
        <v>0.0</v>
      </c>
      <c r="V70" s="38">
        <v>0.0</v>
      </c>
      <c r="W70" s="38">
        <v>0.0</v>
      </c>
      <c r="X70" s="38">
        <v>0.0</v>
      </c>
      <c r="Y70" s="38">
        <v>0.0</v>
      </c>
      <c r="Z70" s="38" t="s">
        <v>67</v>
      </c>
      <c r="AA70" s="38" t="s">
        <v>67</v>
      </c>
      <c r="AB70" s="38" t="s">
        <v>67</v>
      </c>
      <c r="AC70" s="38" t="s">
        <v>67</v>
      </c>
      <c r="AD70" s="34" t="str">
        <f t="shared" si="5"/>
        <v>0</v>
      </c>
      <c r="AE70" s="38">
        <v>0.0</v>
      </c>
      <c r="AF70" s="38">
        <v>0.0</v>
      </c>
      <c r="AG70" s="38">
        <v>0.0</v>
      </c>
      <c r="AH70" s="38">
        <v>0.0</v>
      </c>
      <c r="AI70" s="38">
        <v>0.0</v>
      </c>
      <c r="AJ70" s="34" t="str">
        <f t="shared" si="6"/>
        <v>0</v>
      </c>
      <c r="AK70" s="38">
        <v>0.0</v>
      </c>
      <c r="AL70" s="38">
        <v>0.0</v>
      </c>
      <c r="AM70" s="38">
        <v>0.0</v>
      </c>
      <c r="AN70" s="38">
        <v>0.0</v>
      </c>
      <c r="AO70" s="38">
        <v>0.0</v>
      </c>
      <c r="AP70" s="29" t="s">
        <v>67</v>
      </c>
      <c r="AQ70" s="38" t="s">
        <v>67</v>
      </c>
      <c r="AR70" s="38" t="s">
        <v>67</v>
      </c>
      <c r="AS70" s="38">
        <v>0.0</v>
      </c>
      <c r="AT70" s="38" t="s">
        <v>67</v>
      </c>
      <c r="AU70" s="38" t="s">
        <v>67</v>
      </c>
      <c r="AV70" s="38" t="s">
        <v>67</v>
      </c>
      <c r="AW70" s="38" t="s">
        <v>67</v>
      </c>
      <c r="AX70" s="38" t="s">
        <v>67</v>
      </c>
      <c r="AY70" s="38" t="s">
        <v>67</v>
      </c>
      <c r="AZ70" s="38" t="s">
        <v>67</v>
      </c>
      <c r="BA70" s="38" t="s">
        <v>67</v>
      </c>
      <c r="BB70" s="38" t="s">
        <v>67</v>
      </c>
      <c r="BC70" s="38" t="s">
        <v>67</v>
      </c>
      <c r="BD70" s="38" t="s">
        <v>67</v>
      </c>
      <c r="BE70" s="38" t="s">
        <v>67</v>
      </c>
      <c r="BF70" s="38" t="s">
        <v>67</v>
      </c>
      <c r="BG70" s="38" t="s">
        <v>67</v>
      </c>
      <c r="BH70" s="38" t="s">
        <v>67</v>
      </c>
      <c r="BI70" s="38" t="s">
        <v>67</v>
      </c>
      <c r="BJ70" s="38" t="s">
        <v>67</v>
      </c>
      <c r="BK70" s="38" t="s">
        <v>67</v>
      </c>
      <c r="BL70" s="38" t="s">
        <v>67</v>
      </c>
      <c r="BM70" s="38" t="s">
        <v>67</v>
      </c>
      <c r="BN70" s="34" t="str">
        <f t="shared" si="7"/>
        <v>0</v>
      </c>
    </row>
    <row r="71" ht="15.75" customHeight="1">
      <c r="A71" s="38">
        <v>34.0</v>
      </c>
      <c r="B71" s="25" t="s">
        <v>273</v>
      </c>
      <c r="C71" s="58" t="s">
        <v>274</v>
      </c>
      <c r="D71" s="53" t="s">
        <v>275</v>
      </c>
      <c r="E71" s="38">
        <v>3130.0</v>
      </c>
      <c r="F71" s="38" t="s">
        <v>276</v>
      </c>
      <c r="G71" s="38">
        <v>3.0</v>
      </c>
      <c r="H71" s="38" t="s">
        <v>149</v>
      </c>
      <c r="I71" s="29" t="s">
        <v>277</v>
      </c>
      <c r="J71" s="38">
        <v>10.0</v>
      </c>
      <c r="K71" s="38">
        <v>1.0</v>
      </c>
      <c r="L71" s="38">
        <v>1.0</v>
      </c>
      <c r="M71" s="38"/>
      <c r="N71" s="38"/>
      <c r="O71" s="38"/>
      <c r="P71" s="33" t="s">
        <v>88</v>
      </c>
      <c r="Q71" s="33" t="str">
        <f t="shared" si="12"/>
        <v>0</v>
      </c>
      <c r="R71" s="33" t="str">
        <f t="shared" si="13"/>
        <v>0</v>
      </c>
      <c r="S71" s="33" t="str">
        <f t="shared" si="14"/>
        <v>0</v>
      </c>
      <c r="T71" s="38" t="s">
        <v>67</v>
      </c>
      <c r="U71" s="38" t="s">
        <v>67</v>
      </c>
      <c r="V71" s="38" t="s">
        <v>67</v>
      </c>
      <c r="W71" s="38" t="s">
        <v>67</v>
      </c>
      <c r="X71" s="38" t="s">
        <v>67</v>
      </c>
      <c r="Y71" s="38" t="s">
        <v>67</v>
      </c>
      <c r="Z71" s="38" t="s">
        <v>67</v>
      </c>
      <c r="AA71" s="38" t="s">
        <v>67</v>
      </c>
      <c r="AB71" s="38">
        <v>0.0</v>
      </c>
      <c r="AC71" s="38">
        <v>0.0</v>
      </c>
      <c r="AD71" s="34" t="str">
        <f t="shared" si="5"/>
        <v>0</v>
      </c>
      <c r="AE71" s="38" t="s">
        <v>67</v>
      </c>
      <c r="AF71" s="38" t="s">
        <v>67</v>
      </c>
      <c r="AG71" s="38" t="s">
        <v>67</v>
      </c>
      <c r="AH71" s="38" t="s">
        <v>67</v>
      </c>
      <c r="AI71" s="38" t="s">
        <v>67</v>
      </c>
      <c r="AJ71" s="34" t="str">
        <f t="shared" si="6"/>
        <v>0</v>
      </c>
      <c r="AK71" s="38" t="s">
        <v>67</v>
      </c>
      <c r="AL71" s="38" t="s">
        <v>67</v>
      </c>
      <c r="AM71" s="38" t="s">
        <v>67</v>
      </c>
      <c r="AN71" s="38" t="s">
        <v>67</v>
      </c>
      <c r="AO71" s="38" t="s">
        <v>67</v>
      </c>
      <c r="AP71" s="29">
        <v>0.0</v>
      </c>
      <c r="AQ71" s="38" t="s">
        <v>67</v>
      </c>
      <c r="AR71" s="38">
        <v>0.0</v>
      </c>
      <c r="AS71" s="38" t="s">
        <v>67</v>
      </c>
      <c r="AT71" s="38" t="s">
        <v>67</v>
      </c>
      <c r="AU71" s="38" t="s">
        <v>67</v>
      </c>
      <c r="AV71" s="38" t="s">
        <v>67</v>
      </c>
      <c r="AW71" s="38" t="s">
        <v>67</v>
      </c>
      <c r="AX71" s="38" t="s">
        <v>67</v>
      </c>
      <c r="AY71" s="38" t="s">
        <v>67</v>
      </c>
      <c r="AZ71" s="38" t="s">
        <v>67</v>
      </c>
      <c r="BA71" s="38" t="s">
        <v>67</v>
      </c>
      <c r="BB71" s="38" t="s">
        <v>67</v>
      </c>
      <c r="BC71" s="38" t="s">
        <v>67</v>
      </c>
      <c r="BD71" s="38" t="s">
        <v>67</v>
      </c>
      <c r="BE71" s="38" t="s">
        <v>67</v>
      </c>
      <c r="BF71" s="38" t="s">
        <v>67</v>
      </c>
      <c r="BG71" s="38" t="s">
        <v>67</v>
      </c>
      <c r="BH71" s="38" t="s">
        <v>67</v>
      </c>
      <c r="BI71" s="38" t="s">
        <v>67</v>
      </c>
      <c r="BJ71" s="38" t="s">
        <v>67</v>
      </c>
      <c r="BK71" s="38" t="s">
        <v>67</v>
      </c>
      <c r="BL71" s="38" t="s">
        <v>67</v>
      </c>
      <c r="BM71" s="38" t="s">
        <v>67</v>
      </c>
      <c r="BN71" s="34" t="str">
        <f t="shared" si="7"/>
        <v>0</v>
      </c>
    </row>
    <row r="72" ht="15.75" customHeight="1">
      <c r="A72" s="38">
        <v>35.0</v>
      </c>
      <c r="B72" s="25" t="s">
        <v>278</v>
      </c>
      <c r="C72" s="58" t="s">
        <v>279</v>
      </c>
      <c r="D72" s="53" t="s">
        <v>275</v>
      </c>
      <c r="E72" s="38">
        <v>3130.0</v>
      </c>
      <c r="F72" s="38" t="s">
        <v>280</v>
      </c>
      <c r="G72" s="38">
        <v>7.0</v>
      </c>
      <c r="H72" s="38" t="s">
        <v>154</v>
      </c>
      <c r="I72" s="29" t="s">
        <v>78</v>
      </c>
      <c r="J72" s="38">
        <v>996.0</v>
      </c>
      <c r="K72" s="38">
        <v>505.0</v>
      </c>
      <c r="L72" s="60">
        <v>25.0</v>
      </c>
      <c r="M72" s="38"/>
      <c r="N72" s="38"/>
      <c r="O72" s="38"/>
      <c r="P72" s="33" t="s">
        <v>88</v>
      </c>
      <c r="Q72" s="33" t="str">
        <f t="shared" si="12"/>
        <v>0</v>
      </c>
      <c r="R72" s="33" t="str">
        <f t="shared" si="13"/>
        <v>0</v>
      </c>
      <c r="S72" s="33" t="str">
        <f t="shared" si="14"/>
        <v>0</v>
      </c>
      <c r="T72" s="38">
        <v>0.0</v>
      </c>
      <c r="U72" s="38">
        <v>0.0</v>
      </c>
      <c r="V72" s="38">
        <v>0.0</v>
      </c>
      <c r="W72" s="38">
        <v>0.0</v>
      </c>
      <c r="X72" s="38">
        <v>0.0</v>
      </c>
      <c r="Y72" s="38">
        <v>0.0</v>
      </c>
      <c r="Z72" s="38">
        <v>0.0</v>
      </c>
      <c r="AA72" s="38" t="s">
        <v>67</v>
      </c>
      <c r="AB72" s="38" t="s">
        <v>67</v>
      </c>
      <c r="AC72" s="38" t="s">
        <v>67</v>
      </c>
      <c r="AD72" s="34" t="str">
        <f t="shared" si="5"/>
        <v>0</v>
      </c>
      <c r="AE72" s="38">
        <v>0.0</v>
      </c>
      <c r="AF72" s="38">
        <v>0.0</v>
      </c>
      <c r="AG72" s="38">
        <v>0.0</v>
      </c>
      <c r="AH72" s="38">
        <v>0.0</v>
      </c>
      <c r="AI72" s="38">
        <v>0.0</v>
      </c>
      <c r="AJ72" s="34" t="str">
        <f t="shared" si="6"/>
        <v>0</v>
      </c>
      <c r="AK72" s="38">
        <v>0.0</v>
      </c>
      <c r="AL72" s="38">
        <v>0.0</v>
      </c>
      <c r="AM72" s="38">
        <v>0.0</v>
      </c>
      <c r="AN72" s="38">
        <v>0.0</v>
      </c>
      <c r="AO72" s="38">
        <v>0.0</v>
      </c>
      <c r="AP72" s="29" t="s">
        <v>67</v>
      </c>
      <c r="AQ72" s="38" t="s">
        <v>67</v>
      </c>
      <c r="AR72" s="38" t="s">
        <v>67</v>
      </c>
      <c r="AS72" s="38" t="s">
        <v>67</v>
      </c>
      <c r="AT72" s="38" t="s">
        <v>67</v>
      </c>
      <c r="AU72" s="38" t="s">
        <v>67</v>
      </c>
      <c r="AV72" s="38" t="s">
        <v>67</v>
      </c>
      <c r="AW72" s="38" t="s">
        <v>67</v>
      </c>
      <c r="AX72" s="38" t="s">
        <v>67</v>
      </c>
      <c r="AY72" s="38" t="s">
        <v>67</v>
      </c>
      <c r="AZ72" s="38" t="s">
        <v>67</v>
      </c>
      <c r="BA72" s="38" t="s">
        <v>67</v>
      </c>
      <c r="BB72" s="38" t="s">
        <v>67</v>
      </c>
      <c r="BC72" s="38" t="s">
        <v>67</v>
      </c>
      <c r="BD72" s="38" t="s">
        <v>67</v>
      </c>
      <c r="BE72" s="38" t="s">
        <v>67</v>
      </c>
      <c r="BF72" s="38">
        <v>0.0</v>
      </c>
      <c r="BG72" s="38" t="s">
        <v>67</v>
      </c>
      <c r="BH72" s="38" t="s">
        <v>67</v>
      </c>
      <c r="BI72" s="38" t="s">
        <v>67</v>
      </c>
      <c r="BJ72" s="38" t="s">
        <v>67</v>
      </c>
      <c r="BK72" s="38" t="s">
        <v>67</v>
      </c>
      <c r="BL72" s="38" t="s">
        <v>67</v>
      </c>
      <c r="BM72" s="38" t="s">
        <v>67</v>
      </c>
      <c r="BN72" s="34" t="str">
        <f t="shared" si="7"/>
        <v>0</v>
      </c>
    </row>
    <row r="73" ht="15.75" customHeight="1">
      <c r="A73" s="32">
        <v>36.0</v>
      </c>
      <c r="B73" s="47" t="s">
        <v>281</v>
      </c>
      <c r="C73" s="52" t="s">
        <v>252</v>
      </c>
      <c r="D73" s="48" t="s">
        <v>282</v>
      </c>
      <c r="E73" s="32">
        <v>3130.0</v>
      </c>
      <c r="F73" s="38" t="s">
        <v>283</v>
      </c>
      <c r="G73" s="32">
        <v>5.5</v>
      </c>
      <c r="H73" s="32" t="s">
        <v>284</v>
      </c>
      <c r="I73" s="32" t="s">
        <v>285</v>
      </c>
      <c r="J73" s="32">
        <v>876.0</v>
      </c>
      <c r="K73" s="32">
        <v>575.0</v>
      </c>
      <c r="L73" s="32"/>
      <c r="M73" s="32"/>
      <c r="N73" s="32"/>
      <c r="O73" s="32"/>
      <c r="P73" s="33" t="str">
        <f t="shared" ref="P73:P75" si="17">sum(Q73:S73)</f>
        <v>3</v>
      </c>
      <c r="Q73" s="33" t="str">
        <f t="shared" si="12"/>
        <v>0</v>
      </c>
      <c r="R73" s="33" t="str">
        <f t="shared" si="13"/>
        <v>2</v>
      </c>
      <c r="S73" s="33" t="str">
        <f t="shared" si="14"/>
        <v>1</v>
      </c>
      <c r="T73" s="38">
        <v>0.0</v>
      </c>
      <c r="U73" s="38">
        <v>0.0</v>
      </c>
      <c r="V73" s="38">
        <v>0.0</v>
      </c>
      <c r="W73" s="38">
        <v>0.0</v>
      </c>
      <c r="X73" s="38">
        <v>0.0</v>
      </c>
      <c r="Y73" s="38">
        <v>0.0</v>
      </c>
      <c r="Z73" s="38">
        <v>0.0</v>
      </c>
      <c r="AA73" s="38" t="s">
        <v>67</v>
      </c>
      <c r="AB73" s="38" t="s">
        <v>67</v>
      </c>
      <c r="AC73" s="38" t="s">
        <v>67</v>
      </c>
      <c r="AD73" s="34" t="str">
        <f t="shared" si="5"/>
        <v>0</v>
      </c>
      <c r="AE73" s="38">
        <v>2.0</v>
      </c>
      <c r="AF73" s="38">
        <v>0.0</v>
      </c>
      <c r="AG73" s="38">
        <v>0.0</v>
      </c>
      <c r="AH73" s="38">
        <v>0.0</v>
      </c>
      <c r="AI73" s="38">
        <v>0.0</v>
      </c>
      <c r="AJ73" s="34" t="str">
        <f t="shared" si="6"/>
        <v>2</v>
      </c>
      <c r="AK73" s="38">
        <v>0.0</v>
      </c>
      <c r="AL73" s="38">
        <v>0.0</v>
      </c>
      <c r="AM73" s="38">
        <v>1.0</v>
      </c>
      <c r="AN73" s="38">
        <v>0.0</v>
      </c>
      <c r="AO73" s="38">
        <v>0.0</v>
      </c>
      <c r="AP73" s="38" t="s">
        <v>67</v>
      </c>
      <c r="AQ73" s="38" t="s">
        <v>67</v>
      </c>
      <c r="AR73" s="38" t="s">
        <v>67</v>
      </c>
      <c r="AS73" s="38">
        <v>0.0</v>
      </c>
      <c r="AT73" s="38" t="s">
        <v>67</v>
      </c>
      <c r="AU73" s="38" t="s">
        <v>67</v>
      </c>
      <c r="AV73" s="38" t="s">
        <v>67</v>
      </c>
      <c r="AW73" s="38" t="s">
        <v>67</v>
      </c>
      <c r="AX73" s="38" t="s">
        <v>67</v>
      </c>
      <c r="AY73" s="38" t="s">
        <v>67</v>
      </c>
      <c r="AZ73" s="38" t="s">
        <v>67</v>
      </c>
      <c r="BA73" s="38" t="s">
        <v>67</v>
      </c>
      <c r="BB73" s="38" t="s">
        <v>67</v>
      </c>
      <c r="BC73" s="38" t="s">
        <v>67</v>
      </c>
      <c r="BD73" s="38" t="s">
        <v>67</v>
      </c>
      <c r="BE73" s="38" t="s">
        <v>67</v>
      </c>
      <c r="BF73" s="38">
        <v>0.0</v>
      </c>
      <c r="BG73" s="38">
        <v>0.0</v>
      </c>
      <c r="BH73" s="38" t="s">
        <v>67</v>
      </c>
      <c r="BI73" s="38" t="s">
        <v>67</v>
      </c>
      <c r="BJ73" s="38" t="s">
        <v>67</v>
      </c>
      <c r="BK73" s="38" t="s">
        <v>67</v>
      </c>
      <c r="BL73" s="38" t="s">
        <v>67</v>
      </c>
      <c r="BM73" s="38" t="s">
        <v>67</v>
      </c>
      <c r="BN73" s="34" t="str">
        <f t="shared" si="7"/>
        <v>1</v>
      </c>
    </row>
    <row r="74" ht="15.75" customHeight="1">
      <c r="A74" s="11"/>
      <c r="B74" s="11"/>
      <c r="C74" s="11"/>
      <c r="D74" s="11"/>
      <c r="E74" s="11"/>
      <c r="F74" s="38" t="s">
        <v>286</v>
      </c>
      <c r="G74" s="11"/>
      <c r="H74" s="23"/>
      <c r="I74" s="11"/>
      <c r="J74" s="11"/>
      <c r="K74" s="11"/>
      <c r="L74" s="11"/>
      <c r="M74" s="11"/>
      <c r="N74" s="11"/>
      <c r="O74" s="11"/>
      <c r="P74" s="33" t="str">
        <f t="shared" si="17"/>
        <v>0</v>
      </c>
      <c r="Q74" s="33" t="str">
        <f t="shared" si="12"/>
        <v>0</v>
      </c>
      <c r="R74" s="33" t="str">
        <f t="shared" si="13"/>
        <v>0</v>
      </c>
      <c r="S74" s="33" t="str">
        <f t="shared" si="14"/>
        <v>0</v>
      </c>
      <c r="T74" s="38">
        <v>0.0</v>
      </c>
      <c r="U74" s="38">
        <v>0.0</v>
      </c>
      <c r="V74" s="38">
        <v>0.0</v>
      </c>
      <c r="W74" s="38">
        <v>0.0</v>
      </c>
      <c r="X74" s="38">
        <v>0.0</v>
      </c>
      <c r="Y74" s="38">
        <v>0.0</v>
      </c>
      <c r="Z74" s="38">
        <v>0.0</v>
      </c>
      <c r="AA74" s="38" t="s">
        <v>67</v>
      </c>
      <c r="AB74" s="38" t="s">
        <v>67</v>
      </c>
      <c r="AC74" s="38" t="s">
        <v>67</v>
      </c>
      <c r="AD74" s="34" t="str">
        <f t="shared" si="5"/>
        <v>0</v>
      </c>
      <c r="AE74" s="38">
        <v>0.0</v>
      </c>
      <c r="AF74" s="38">
        <v>0.0</v>
      </c>
      <c r="AG74" s="38">
        <v>0.0</v>
      </c>
      <c r="AH74" s="38">
        <v>0.0</v>
      </c>
      <c r="AI74" s="38">
        <v>0.0</v>
      </c>
      <c r="AJ74" s="34" t="str">
        <f t="shared" si="6"/>
        <v>0</v>
      </c>
      <c r="AK74" s="38">
        <v>0.0</v>
      </c>
      <c r="AL74" s="38">
        <v>0.0</v>
      </c>
      <c r="AM74" s="38">
        <v>0.0</v>
      </c>
      <c r="AN74" s="38">
        <v>0.0</v>
      </c>
      <c r="AO74" s="38">
        <v>0.0</v>
      </c>
      <c r="AP74" s="38" t="s">
        <v>67</v>
      </c>
      <c r="AQ74" s="38" t="s">
        <v>67</v>
      </c>
      <c r="AR74" s="38" t="s">
        <v>67</v>
      </c>
      <c r="AS74" s="38">
        <v>0.0</v>
      </c>
      <c r="AT74" s="38" t="s">
        <v>67</v>
      </c>
      <c r="AU74" s="38" t="s">
        <v>67</v>
      </c>
      <c r="AV74" s="38" t="s">
        <v>67</v>
      </c>
      <c r="AW74" s="38" t="s">
        <v>67</v>
      </c>
      <c r="AX74" s="38" t="s">
        <v>67</v>
      </c>
      <c r="AY74" s="38" t="s">
        <v>67</v>
      </c>
      <c r="AZ74" s="38" t="s">
        <v>67</v>
      </c>
      <c r="BA74" s="38" t="s">
        <v>67</v>
      </c>
      <c r="BB74" s="38" t="s">
        <v>67</v>
      </c>
      <c r="BC74" s="38" t="s">
        <v>67</v>
      </c>
      <c r="BD74" s="38" t="s">
        <v>67</v>
      </c>
      <c r="BE74" s="38" t="s">
        <v>67</v>
      </c>
      <c r="BF74" s="38">
        <v>0.0</v>
      </c>
      <c r="BG74" s="38">
        <v>0.0</v>
      </c>
      <c r="BH74" s="38" t="s">
        <v>67</v>
      </c>
      <c r="BI74" s="38" t="s">
        <v>67</v>
      </c>
      <c r="BJ74" s="38" t="s">
        <v>67</v>
      </c>
      <c r="BK74" s="38" t="s">
        <v>67</v>
      </c>
      <c r="BL74" s="38" t="s">
        <v>67</v>
      </c>
      <c r="BM74" s="38" t="s">
        <v>67</v>
      </c>
      <c r="BN74" s="34" t="str">
        <f t="shared" si="7"/>
        <v>0</v>
      </c>
    </row>
    <row r="75" ht="15.75" customHeight="1">
      <c r="A75" s="23"/>
      <c r="B75" s="11"/>
      <c r="C75" s="23"/>
      <c r="D75" s="23"/>
      <c r="E75" s="23"/>
      <c r="F75" s="38" t="s">
        <v>287</v>
      </c>
      <c r="G75" s="23"/>
      <c r="H75" s="38" t="s">
        <v>288</v>
      </c>
      <c r="I75" s="23"/>
      <c r="J75" s="23"/>
      <c r="K75" s="23"/>
      <c r="L75" s="23"/>
      <c r="M75" s="23"/>
      <c r="N75" s="23"/>
      <c r="O75" s="23"/>
      <c r="P75" s="33" t="str">
        <f t="shared" si="17"/>
        <v>1</v>
      </c>
      <c r="Q75" s="33" t="str">
        <f t="shared" si="12"/>
        <v>1</v>
      </c>
      <c r="R75" s="33" t="str">
        <f t="shared" si="13"/>
        <v>0</v>
      </c>
      <c r="S75" s="33" t="str">
        <f t="shared" si="14"/>
        <v>0</v>
      </c>
      <c r="T75" s="38">
        <v>0.0</v>
      </c>
      <c r="U75" s="38">
        <v>0.0</v>
      </c>
      <c r="V75" s="38">
        <v>0.0</v>
      </c>
      <c r="W75" s="38">
        <v>0.0</v>
      </c>
      <c r="X75" s="38">
        <v>0.0</v>
      </c>
      <c r="Y75" s="38">
        <v>1.0</v>
      </c>
      <c r="Z75" s="38">
        <v>0.0</v>
      </c>
      <c r="AA75" s="38" t="s">
        <v>67</v>
      </c>
      <c r="AB75" s="38" t="s">
        <v>67</v>
      </c>
      <c r="AC75" s="38" t="s">
        <v>67</v>
      </c>
      <c r="AD75" s="34" t="str">
        <f t="shared" si="5"/>
        <v>1</v>
      </c>
      <c r="AE75" s="38">
        <v>0.0</v>
      </c>
      <c r="AF75" s="38">
        <v>0.0</v>
      </c>
      <c r="AG75" s="38">
        <v>0.0</v>
      </c>
      <c r="AH75" s="38">
        <v>0.0</v>
      </c>
      <c r="AI75" s="38">
        <v>0.0</v>
      </c>
      <c r="AJ75" s="34" t="str">
        <f t="shared" si="6"/>
        <v>0</v>
      </c>
      <c r="AK75" s="38">
        <v>0.0</v>
      </c>
      <c r="AL75" s="38">
        <v>0.0</v>
      </c>
      <c r="AM75" s="38">
        <v>0.0</v>
      </c>
      <c r="AN75" s="38">
        <v>0.0</v>
      </c>
      <c r="AO75" s="38">
        <v>0.0</v>
      </c>
      <c r="AP75" s="38" t="s">
        <v>67</v>
      </c>
      <c r="AQ75" s="38" t="s">
        <v>67</v>
      </c>
      <c r="AR75" s="38" t="s">
        <v>67</v>
      </c>
      <c r="AS75" s="38" t="s">
        <v>67</v>
      </c>
      <c r="AT75" s="38" t="s">
        <v>67</v>
      </c>
      <c r="AU75" s="38" t="s">
        <v>67</v>
      </c>
      <c r="AV75" s="38" t="s">
        <v>67</v>
      </c>
      <c r="AW75" s="38" t="s">
        <v>67</v>
      </c>
      <c r="AX75" s="38" t="s">
        <v>67</v>
      </c>
      <c r="AY75" s="38" t="s">
        <v>67</v>
      </c>
      <c r="AZ75" s="38" t="s">
        <v>67</v>
      </c>
      <c r="BA75" s="38" t="s">
        <v>67</v>
      </c>
      <c r="BB75" s="38" t="s">
        <v>67</v>
      </c>
      <c r="BC75" s="38" t="s">
        <v>67</v>
      </c>
      <c r="BD75" s="38" t="s">
        <v>67</v>
      </c>
      <c r="BE75" s="38" t="s">
        <v>67</v>
      </c>
      <c r="BF75" s="38">
        <v>0.0</v>
      </c>
      <c r="BG75" s="38">
        <v>0.0</v>
      </c>
      <c r="BH75" s="38" t="s">
        <v>67</v>
      </c>
      <c r="BI75" s="38" t="s">
        <v>67</v>
      </c>
      <c r="BJ75" s="38" t="s">
        <v>67</v>
      </c>
      <c r="BK75" s="38" t="s">
        <v>67</v>
      </c>
      <c r="BL75" s="38" t="s">
        <v>67</v>
      </c>
      <c r="BM75" s="38" t="s">
        <v>67</v>
      </c>
      <c r="BN75" s="34" t="str">
        <f t="shared" si="7"/>
        <v>0</v>
      </c>
    </row>
    <row r="76" ht="15.75" customHeight="1">
      <c r="A76" s="38">
        <v>37.0</v>
      </c>
      <c r="B76" s="25" t="s">
        <v>289</v>
      </c>
      <c r="C76" s="58" t="s">
        <v>290</v>
      </c>
      <c r="D76" s="53" t="s">
        <v>291</v>
      </c>
      <c r="E76" s="38">
        <v>3130.0</v>
      </c>
      <c r="F76" s="38" t="s">
        <v>101</v>
      </c>
      <c r="G76" s="38">
        <v>5.76</v>
      </c>
      <c r="H76" s="38" t="s">
        <v>102</v>
      </c>
      <c r="I76" s="29" t="s">
        <v>292</v>
      </c>
      <c r="J76" s="38">
        <v>1738.0</v>
      </c>
      <c r="K76" s="38">
        <v>486.0</v>
      </c>
      <c r="L76" s="38"/>
      <c r="M76" s="38"/>
      <c r="N76" s="38"/>
      <c r="O76" s="38"/>
      <c r="P76" s="33" t="s">
        <v>88</v>
      </c>
      <c r="Q76" s="33" t="str">
        <f t="shared" si="12"/>
        <v>0</v>
      </c>
      <c r="R76" s="33" t="str">
        <f t="shared" si="13"/>
        <v>0</v>
      </c>
      <c r="S76" s="33" t="str">
        <f t="shared" si="14"/>
        <v>0</v>
      </c>
      <c r="T76" s="38">
        <v>0.0</v>
      </c>
      <c r="U76" s="38">
        <v>0.0</v>
      </c>
      <c r="V76" s="38">
        <v>0.0</v>
      </c>
      <c r="W76" s="38">
        <v>0.0</v>
      </c>
      <c r="X76" s="38">
        <v>0.0</v>
      </c>
      <c r="Y76" s="38">
        <v>0.0</v>
      </c>
      <c r="Z76" s="38">
        <v>0.0</v>
      </c>
      <c r="AA76" s="38" t="s">
        <v>67</v>
      </c>
      <c r="AB76" s="38" t="s">
        <v>67</v>
      </c>
      <c r="AC76" s="38" t="s">
        <v>67</v>
      </c>
      <c r="AD76" s="34" t="str">
        <f t="shared" si="5"/>
        <v>0</v>
      </c>
      <c r="AE76" s="38">
        <v>0.0</v>
      </c>
      <c r="AF76" s="38">
        <v>0.0</v>
      </c>
      <c r="AG76" s="38">
        <v>0.0</v>
      </c>
      <c r="AH76" s="38">
        <v>0.0</v>
      </c>
      <c r="AI76" s="38">
        <v>0.0</v>
      </c>
      <c r="AJ76" s="34" t="str">
        <f t="shared" si="6"/>
        <v>0</v>
      </c>
      <c r="AK76" s="38">
        <v>0.0</v>
      </c>
      <c r="AL76" s="38">
        <v>0.0</v>
      </c>
      <c r="AM76" s="38">
        <v>0.0</v>
      </c>
      <c r="AN76" s="38">
        <v>0.0</v>
      </c>
      <c r="AO76" s="38">
        <v>0.0</v>
      </c>
      <c r="AP76" s="29" t="s">
        <v>67</v>
      </c>
      <c r="AQ76" s="38" t="s">
        <v>67</v>
      </c>
      <c r="AR76" s="38" t="s">
        <v>67</v>
      </c>
      <c r="AS76" s="38">
        <v>0.0</v>
      </c>
      <c r="AT76" s="38" t="s">
        <v>67</v>
      </c>
      <c r="AU76" s="38" t="s">
        <v>67</v>
      </c>
      <c r="AV76" s="38" t="s">
        <v>67</v>
      </c>
      <c r="AW76" s="38" t="s">
        <v>67</v>
      </c>
      <c r="AX76" s="38" t="s">
        <v>67</v>
      </c>
      <c r="AY76" s="38" t="s">
        <v>67</v>
      </c>
      <c r="AZ76" s="38" t="s">
        <v>67</v>
      </c>
      <c r="BA76" s="38" t="s">
        <v>67</v>
      </c>
      <c r="BB76" s="38" t="s">
        <v>67</v>
      </c>
      <c r="BC76" s="38" t="s">
        <v>67</v>
      </c>
      <c r="BD76" s="38" t="s">
        <v>67</v>
      </c>
      <c r="BE76" s="38" t="s">
        <v>67</v>
      </c>
      <c r="BF76" s="38">
        <v>0.0</v>
      </c>
      <c r="BG76" s="38" t="s">
        <v>67</v>
      </c>
      <c r="BH76" s="38" t="s">
        <v>67</v>
      </c>
      <c r="BI76" s="38" t="s">
        <v>67</v>
      </c>
      <c r="BJ76" s="38" t="s">
        <v>67</v>
      </c>
      <c r="BK76" s="38" t="s">
        <v>67</v>
      </c>
      <c r="BL76" s="38" t="s">
        <v>67</v>
      </c>
      <c r="BM76" s="38" t="s">
        <v>67</v>
      </c>
      <c r="BN76" s="34" t="str">
        <f t="shared" si="7"/>
        <v>0</v>
      </c>
    </row>
    <row r="77" ht="15.75" customHeight="1">
      <c r="A77" s="38">
        <v>38.0</v>
      </c>
      <c r="B77" s="61" t="s">
        <v>293</v>
      </c>
      <c r="C77" s="58" t="s">
        <v>294</v>
      </c>
      <c r="D77" s="53" t="s">
        <v>295</v>
      </c>
      <c r="E77" s="38">
        <v>3130.0</v>
      </c>
      <c r="F77" s="38" t="s">
        <v>296</v>
      </c>
      <c r="G77" s="38">
        <v>3.0</v>
      </c>
      <c r="H77" s="38" t="s">
        <v>297</v>
      </c>
      <c r="I77" s="29" t="s">
        <v>78</v>
      </c>
      <c r="J77" s="38">
        <v>34.0</v>
      </c>
      <c r="K77" s="38">
        <v>13.0</v>
      </c>
      <c r="L77" s="38"/>
      <c r="M77" s="38"/>
      <c r="N77" s="38"/>
      <c r="O77" s="38"/>
      <c r="P77" s="33"/>
      <c r="Q77" s="33"/>
      <c r="R77" s="33"/>
      <c r="S77" s="33"/>
      <c r="T77" s="38" t="s">
        <v>67</v>
      </c>
      <c r="U77" s="38" t="s">
        <v>67</v>
      </c>
      <c r="V77" s="38" t="s">
        <v>67</v>
      </c>
      <c r="W77" s="38" t="s">
        <v>67</v>
      </c>
      <c r="X77" s="38" t="s">
        <v>67</v>
      </c>
      <c r="Y77" s="38" t="s">
        <v>67</v>
      </c>
      <c r="Z77" s="38">
        <v>0.0</v>
      </c>
      <c r="AA77" s="38">
        <v>0.0</v>
      </c>
      <c r="AB77" s="38">
        <v>0.0</v>
      </c>
      <c r="AC77" s="38" t="s">
        <v>67</v>
      </c>
      <c r="AD77" s="34" t="str">
        <f t="shared" si="5"/>
        <v>0</v>
      </c>
      <c r="AE77" s="38" t="s">
        <v>67</v>
      </c>
      <c r="AF77" s="38" t="s">
        <v>67</v>
      </c>
      <c r="AG77" s="38" t="s">
        <v>67</v>
      </c>
      <c r="AH77" s="38" t="s">
        <v>67</v>
      </c>
      <c r="AI77" s="38" t="s">
        <v>67</v>
      </c>
      <c r="AJ77" s="34" t="str">
        <f t="shared" si="6"/>
        <v>0</v>
      </c>
      <c r="AK77" s="38" t="s">
        <v>67</v>
      </c>
      <c r="AL77" s="38" t="s">
        <v>67</v>
      </c>
      <c r="AM77" s="38" t="s">
        <v>67</v>
      </c>
      <c r="AN77" s="38" t="s">
        <v>67</v>
      </c>
      <c r="AO77" s="38" t="s">
        <v>67</v>
      </c>
      <c r="AP77" s="29">
        <v>0.0</v>
      </c>
      <c r="AQ77" s="38">
        <v>0.0</v>
      </c>
      <c r="AR77" s="38" t="s">
        <v>67</v>
      </c>
      <c r="AS77" s="38" t="s">
        <v>67</v>
      </c>
      <c r="AT77" s="38" t="s">
        <v>67</v>
      </c>
      <c r="AU77" s="38" t="s">
        <v>67</v>
      </c>
      <c r="AV77" s="38" t="s">
        <v>67</v>
      </c>
      <c r="AW77" s="38" t="s">
        <v>67</v>
      </c>
      <c r="AX77" s="38" t="s">
        <v>67</v>
      </c>
      <c r="AY77" s="38" t="s">
        <v>67</v>
      </c>
      <c r="AZ77" s="38" t="s">
        <v>67</v>
      </c>
      <c r="BA77" s="38" t="s">
        <v>67</v>
      </c>
      <c r="BB77" s="38" t="s">
        <v>67</v>
      </c>
      <c r="BC77" s="38" t="s">
        <v>67</v>
      </c>
      <c r="BD77" s="38" t="s">
        <v>67</v>
      </c>
      <c r="BE77" s="38" t="s">
        <v>67</v>
      </c>
      <c r="BF77" s="38" t="s">
        <v>67</v>
      </c>
      <c r="BG77" s="38" t="s">
        <v>67</v>
      </c>
      <c r="BH77" s="38" t="s">
        <v>67</v>
      </c>
      <c r="BI77" s="38" t="s">
        <v>67</v>
      </c>
      <c r="BJ77" s="38" t="s">
        <v>67</v>
      </c>
      <c r="BK77" s="38" t="s">
        <v>67</v>
      </c>
      <c r="BL77" s="38" t="s">
        <v>67</v>
      </c>
      <c r="BM77" s="38" t="s">
        <v>67</v>
      </c>
      <c r="BN77" s="34" t="str">
        <f t="shared" si="7"/>
        <v>0</v>
      </c>
    </row>
    <row r="78" ht="15.75" customHeight="1">
      <c r="A78" s="38">
        <v>39.0</v>
      </c>
      <c r="B78" s="61" t="s">
        <v>298</v>
      </c>
      <c r="C78" s="58" t="s">
        <v>252</v>
      </c>
      <c r="D78" s="53" t="s">
        <v>299</v>
      </c>
      <c r="E78" s="38">
        <v>3130.0</v>
      </c>
      <c r="F78" s="38" t="s">
        <v>300</v>
      </c>
      <c r="G78" s="38">
        <v>4.5</v>
      </c>
      <c r="H78" s="38" t="s">
        <v>301</v>
      </c>
      <c r="I78" s="29" t="s">
        <v>109</v>
      </c>
      <c r="J78" s="38">
        <v>1174.0</v>
      </c>
      <c r="K78" s="38">
        <v>458.0</v>
      </c>
      <c r="L78" s="38"/>
      <c r="M78" s="38"/>
      <c r="N78" s="38"/>
      <c r="O78" s="38"/>
      <c r="P78" s="33"/>
      <c r="Q78" s="33"/>
      <c r="R78" s="33"/>
      <c r="S78" s="33"/>
      <c r="T78" s="38">
        <v>0.0</v>
      </c>
      <c r="U78" s="38">
        <v>0.0</v>
      </c>
      <c r="V78" s="38">
        <v>0.0</v>
      </c>
      <c r="W78" s="38">
        <v>0.0</v>
      </c>
      <c r="X78" s="38">
        <v>0.0</v>
      </c>
      <c r="Y78" s="38">
        <v>0.0</v>
      </c>
      <c r="Z78" s="38">
        <v>0.0</v>
      </c>
      <c r="AA78" s="38" t="s">
        <v>67</v>
      </c>
      <c r="AB78" s="38" t="s">
        <v>67</v>
      </c>
      <c r="AC78" s="38" t="s">
        <v>67</v>
      </c>
      <c r="AD78" s="34" t="str">
        <f t="shared" si="5"/>
        <v>0</v>
      </c>
      <c r="AE78" s="38">
        <v>0.0</v>
      </c>
      <c r="AF78" s="38">
        <v>0.0</v>
      </c>
      <c r="AG78" s="38">
        <v>0.0</v>
      </c>
      <c r="AH78" s="38">
        <v>0.0</v>
      </c>
      <c r="AI78" s="38">
        <v>0.0</v>
      </c>
      <c r="AJ78" s="34" t="str">
        <f t="shared" si="6"/>
        <v>0</v>
      </c>
      <c r="AK78" s="38">
        <v>0.0</v>
      </c>
      <c r="AL78" s="38">
        <v>0.0</v>
      </c>
      <c r="AM78" s="38">
        <v>0.0</v>
      </c>
      <c r="AN78" s="38">
        <v>0.0</v>
      </c>
      <c r="AO78" s="38">
        <v>0.0</v>
      </c>
      <c r="AP78" s="29" t="s">
        <v>67</v>
      </c>
      <c r="AQ78" s="38" t="s">
        <v>67</v>
      </c>
      <c r="AR78" s="38" t="s">
        <v>67</v>
      </c>
      <c r="AS78" s="38" t="s">
        <v>67</v>
      </c>
      <c r="AT78" s="38" t="s">
        <v>67</v>
      </c>
      <c r="AU78" s="38" t="s">
        <v>67</v>
      </c>
      <c r="AV78" s="38" t="s">
        <v>67</v>
      </c>
      <c r="AW78" s="38" t="s">
        <v>67</v>
      </c>
      <c r="AX78" s="38" t="s">
        <v>67</v>
      </c>
      <c r="AY78" s="38" t="s">
        <v>67</v>
      </c>
      <c r="AZ78" s="38" t="s">
        <v>67</v>
      </c>
      <c r="BA78" s="38" t="s">
        <v>67</v>
      </c>
      <c r="BB78" s="38" t="s">
        <v>67</v>
      </c>
      <c r="BC78" s="38" t="s">
        <v>67</v>
      </c>
      <c r="BD78" s="38" t="s">
        <v>67</v>
      </c>
      <c r="BE78" s="38" t="s">
        <v>67</v>
      </c>
      <c r="BF78" s="38">
        <v>0.0</v>
      </c>
      <c r="BG78" s="38">
        <v>0.0</v>
      </c>
      <c r="BH78" s="38" t="s">
        <v>67</v>
      </c>
      <c r="BI78" s="38" t="s">
        <v>67</v>
      </c>
      <c r="BJ78" s="38" t="s">
        <v>67</v>
      </c>
      <c r="BK78" s="38" t="s">
        <v>67</v>
      </c>
      <c r="BL78" s="38" t="s">
        <v>67</v>
      </c>
      <c r="BM78" s="38" t="s">
        <v>67</v>
      </c>
      <c r="BN78" s="34" t="str">
        <f t="shared" si="7"/>
        <v>0</v>
      </c>
    </row>
    <row r="79" ht="15.75" customHeight="1">
      <c r="A79" s="38">
        <v>40.0</v>
      </c>
      <c r="B79" s="61" t="s">
        <v>302</v>
      </c>
      <c r="C79" s="58" t="s">
        <v>303</v>
      </c>
      <c r="D79" s="53" t="s">
        <v>304</v>
      </c>
      <c r="E79" s="38">
        <v>8692.0</v>
      </c>
      <c r="F79" s="38" t="s">
        <v>157</v>
      </c>
      <c r="G79" s="38">
        <v>5.0</v>
      </c>
      <c r="H79" s="38" t="s">
        <v>305</v>
      </c>
      <c r="I79" s="29" t="s">
        <v>306</v>
      </c>
      <c r="J79" s="38">
        <v>516.0</v>
      </c>
      <c r="K79" s="38">
        <v>137.0</v>
      </c>
      <c r="L79" s="38"/>
      <c r="M79" s="38"/>
      <c r="N79" s="38"/>
      <c r="O79" s="38"/>
      <c r="P79" s="33"/>
      <c r="Q79" s="33"/>
      <c r="R79" s="33"/>
      <c r="S79" s="33"/>
      <c r="T79" s="38">
        <v>0.0</v>
      </c>
      <c r="U79" s="38">
        <v>0.0</v>
      </c>
      <c r="V79" s="38">
        <v>0.0</v>
      </c>
      <c r="W79" s="38">
        <v>0.0</v>
      </c>
      <c r="X79" s="38">
        <v>0.0</v>
      </c>
      <c r="Y79" s="38">
        <v>0.0</v>
      </c>
      <c r="Z79" s="38">
        <v>0.0</v>
      </c>
      <c r="AA79" s="38" t="s">
        <v>67</v>
      </c>
      <c r="AB79" s="38" t="s">
        <v>67</v>
      </c>
      <c r="AC79" s="38" t="s">
        <v>67</v>
      </c>
      <c r="AD79" s="34" t="str">
        <f t="shared" si="5"/>
        <v>0</v>
      </c>
      <c r="AE79" s="38">
        <v>0.0</v>
      </c>
      <c r="AF79" s="38">
        <v>0.0</v>
      </c>
      <c r="AG79" s="38">
        <v>0.0</v>
      </c>
      <c r="AH79" s="38">
        <v>0.0</v>
      </c>
      <c r="AI79" s="38">
        <v>0.0</v>
      </c>
      <c r="AJ79" s="34" t="str">
        <f t="shared" si="6"/>
        <v>0</v>
      </c>
      <c r="AK79" s="38">
        <v>0.0</v>
      </c>
      <c r="AL79" s="38">
        <v>0.0</v>
      </c>
      <c r="AM79" s="38">
        <v>0.0</v>
      </c>
      <c r="AN79" s="38">
        <v>0.0</v>
      </c>
      <c r="AO79" s="38">
        <v>0.0</v>
      </c>
      <c r="AP79" s="29" t="s">
        <v>67</v>
      </c>
      <c r="AQ79" s="38" t="s">
        <v>67</v>
      </c>
      <c r="AR79" s="38" t="s">
        <v>67</v>
      </c>
      <c r="AS79" s="38" t="s">
        <v>67</v>
      </c>
      <c r="AT79" s="38" t="s">
        <v>67</v>
      </c>
      <c r="AU79" s="38" t="s">
        <v>67</v>
      </c>
      <c r="AV79" s="38" t="s">
        <v>67</v>
      </c>
      <c r="AW79" s="38" t="s">
        <v>67</v>
      </c>
      <c r="AX79" s="38" t="s">
        <v>67</v>
      </c>
      <c r="AY79" s="38" t="s">
        <v>67</v>
      </c>
      <c r="AZ79" s="38" t="s">
        <v>67</v>
      </c>
      <c r="BA79" s="38" t="s">
        <v>67</v>
      </c>
      <c r="BB79" s="38" t="s">
        <v>67</v>
      </c>
      <c r="BC79" s="38" t="s">
        <v>67</v>
      </c>
      <c r="BD79" s="38" t="s">
        <v>67</v>
      </c>
      <c r="BE79" s="38" t="s">
        <v>67</v>
      </c>
      <c r="BF79" s="38">
        <v>0.0</v>
      </c>
      <c r="BG79" s="38">
        <v>0.0</v>
      </c>
      <c r="BH79" s="38" t="s">
        <v>67</v>
      </c>
      <c r="BI79" s="38" t="s">
        <v>67</v>
      </c>
      <c r="BJ79" s="38" t="s">
        <v>67</v>
      </c>
      <c r="BK79" s="38" t="s">
        <v>67</v>
      </c>
      <c r="BL79" s="38" t="s">
        <v>67</v>
      </c>
      <c r="BM79" s="38" t="s">
        <v>67</v>
      </c>
      <c r="BN79" s="34" t="str">
        <f t="shared" si="7"/>
        <v>0</v>
      </c>
    </row>
    <row r="80" ht="15.75" customHeight="1">
      <c r="A80" s="42">
        <v>41.0</v>
      </c>
      <c r="B80" s="61" t="s">
        <v>307</v>
      </c>
      <c r="C80" s="54" t="s">
        <v>308</v>
      </c>
      <c r="D80" s="55" t="s">
        <v>304</v>
      </c>
      <c r="E80" s="29">
        <v>3130.0</v>
      </c>
      <c r="F80" s="29" t="s">
        <v>309</v>
      </c>
      <c r="G80" s="29">
        <v>6.0</v>
      </c>
      <c r="H80" s="29" t="s">
        <v>310</v>
      </c>
      <c r="I80" s="29" t="s">
        <v>311</v>
      </c>
      <c r="J80" s="29">
        <v>8.0</v>
      </c>
      <c r="K80" s="29">
        <v>8.0</v>
      </c>
      <c r="L80" s="62"/>
      <c r="M80" s="62"/>
      <c r="N80" s="62"/>
      <c r="O80" s="62"/>
      <c r="P80" s="63"/>
      <c r="Q80" s="63"/>
      <c r="R80" s="63"/>
      <c r="S80" s="63"/>
      <c r="T80" s="29" t="s">
        <v>67</v>
      </c>
      <c r="U80" s="29" t="s">
        <v>67</v>
      </c>
      <c r="V80" s="29" t="s">
        <v>67</v>
      </c>
      <c r="W80" s="29" t="s">
        <v>67</v>
      </c>
      <c r="X80" s="29" t="s">
        <v>67</v>
      </c>
      <c r="Y80" s="29" t="s">
        <v>67</v>
      </c>
      <c r="Z80" s="29" t="s">
        <v>67</v>
      </c>
      <c r="AA80" s="29" t="s">
        <v>67</v>
      </c>
      <c r="AB80" s="29">
        <v>0.0</v>
      </c>
      <c r="AC80" s="29">
        <v>0.0</v>
      </c>
      <c r="AD80" s="34" t="str">
        <f t="shared" si="5"/>
        <v>0</v>
      </c>
      <c r="AE80" s="29" t="s">
        <v>67</v>
      </c>
      <c r="AF80" s="29" t="s">
        <v>67</v>
      </c>
      <c r="AG80" s="29" t="s">
        <v>67</v>
      </c>
      <c r="AH80" s="29" t="s">
        <v>67</v>
      </c>
      <c r="AI80" s="29" t="s">
        <v>67</v>
      </c>
      <c r="AJ80" s="34" t="str">
        <f t="shared" si="6"/>
        <v>0</v>
      </c>
      <c r="AK80" s="29" t="s">
        <v>67</v>
      </c>
      <c r="AL80" s="29" t="s">
        <v>67</v>
      </c>
      <c r="AM80" s="29" t="s">
        <v>67</v>
      </c>
      <c r="AN80" s="29" t="s">
        <v>67</v>
      </c>
      <c r="AO80" s="29" t="s">
        <v>67</v>
      </c>
      <c r="AP80" s="29">
        <v>0.0</v>
      </c>
      <c r="AQ80" s="29" t="s">
        <v>67</v>
      </c>
      <c r="AR80" s="29">
        <v>0.0</v>
      </c>
      <c r="AS80" s="29" t="s">
        <v>67</v>
      </c>
      <c r="AT80" s="29" t="s">
        <v>67</v>
      </c>
      <c r="AU80" s="29" t="s">
        <v>67</v>
      </c>
      <c r="AV80" s="29" t="s">
        <v>67</v>
      </c>
      <c r="AW80" s="29" t="s">
        <v>67</v>
      </c>
      <c r="AX80" s="29" t="s">
        <v>67</v>
      </c>
      <c r="AY80" s="29" t="s">
        <v>67</v>
      </c>
      <c r="AZ80" s="29" t="s">
        <v>67</v>
      </c>
      <c r="BA80" s="29" t="s">
        <v>67</v>
      </c>
      <c r="BB80" s="29" t="s">
        <v>67</v>
      </c>
      <c r="BC80" s="29" t="s">
        <v>67</v>
      </c>
      <c r="BD80" s="29" t="s">
        <v>67</v>
      </c>
      <c r="BE80" s="29" t="s">
        <v>67</v>
      </c>
      <c r="BF80" s="29" t="s">
        <v>67</v>
      </c>
      <c r="BG80" s="29" t="s">
        <v>67</v>
      </c>
      <c r="BH80" s="29" t="s">
        <v>67</v>
      </c>
      <c r="BI80" s="29" t="s">
        <v>67</v>
      </c>
      <c r="BJ80" s="29" t="s">
        <v>67</v>
      </c>
      <c r="BK80" s="29" t="s">
        <v>67</v>
      </c>
      <c r="BL80" s="29" t="s">
        <v>67</v>
      </c>
      <c r="BM80" s="29" t="s">
        <v>67</v>
      </c>
      <c r="BN80" s="34" t="str">
        <f t="shared" si="7"/>
        <v>0</v>
      </c>
    </row>
    <row r="81" ht="15.75" customHeight="1">
      <c r="A81" s="64"/>
      <c r="B81" s="65" t="s">
        <v>312</v>
      </c>
      <c r="C81" s="26" t="s">
        <v>313</v>
      </c>
      <c r="D81" s="53"/>
      <c r="E81" s="28">
        <v>3130.0</v>
      </c>
      <c r="F81" s="42"/>
      <c r="G81" s="31"/>
      <c r="H81" s="30" t="s">
        <v>314</v>
      </c>
      <c r="I81" s="29" t="s">
        <v>65</v>
      </c>
      <c r="J81" s="28">
        <v>2067.0</v>
      </c>
      <c r="K81" s="28">
        <v>1034.0</v>
      </c>
      <c r="L81" s="31"/>
      <c r="M81" s="31"/>
      <c r="N81" s="31"/>
      <c r="O81" s="31"/>
      <c r="P81" s="39"/>
      <c r="Q81" s="39"/>
      <c r="R81" s="39"/>
      <c r="S81" s="39"/>
      <c r="T81" s="29">
        <v>0.0</v>
      </c>
      <c r="U81" s="29">
        <v>0.0</v>
      </c>
      <c r="V81" s="29">
        <v>0.0</v>
      </c>
      <c r="W81" s="29">
        <v>0.0</v>
      </c>
      <c r="X81" s="29">
        <v>0.0</v>
      </c>
      <c r="Y81" s="29">
        <v>0.0</v>
      </c>
      <c r="Z81" s="29">
        <v>0.0</v>
      </c>
      <c r="AA81" s="29" t="s">
        <v>67</v>
      </c>
      <c r="AB81" s="29" t="s">
        <v>67</v>
      </c>
      <c r="AC81" s="29" t="s">
        <v>67</v>
      </c>
      <c r="AD81" s="34" t="str">
        <f t="shared" si="5"/>
        <v>0</v>
      </c>
      <c r="AE81" s="29">
        <v>0.0</v>
      </c>
      <c r="AF81" s="29">
        <v>0.0</v>
      </c>
      <c r="AG81" s="29">
        <v>0.0</v>
      </c>
      <c r="AH81" s="29">
        <v>0.0</v>
      </c>
      <c r="AI81" s="29">
        <v>0.0</v>
      </c>
      <c r="AJ81" s="34" t="str">
        <f t="shared" si="6"/>
        <v>0</v>
      </c>
      <c r="AK81" s="29">
        <v>0.0</v>
      </c>
      <c r="AL81" s="29">
        <v>0.0</v>
      </c>
      <c r="AM81" s="29">
        <v>0.0</v>
      </c>
      <c r="AN81" s="29">
        <v>0.0</v>
      </c>
      <c r="AO81" s="29">
        <v>0.0</v>
      </c>
      <c r="AP81" s="29" t="s">
        <v>67</v>
      </c>
      <c r="AQ81" s="29" t="s">
        <v>67</v>
      </c>
      <c r="AR81" s="29" t="s">
        <v>67</v>
      </c>
      <c r="AS81" s="29">
        <v>0.0</v>
      </c>
      <c r="AT81" s="29" t="s">
        <v>67</v>
      </c>
      <c r="AU81" s="29" t="s">
        <v>67</v>
      </c>
      <c r="AV81" s="29" t="s">
        <v>67</v>
      </c>
      <c r="AW81" s="29" t="s">
        <v>67</v>
      </c>
      <c r="AX81" s="29" t="s">
        <v>67</v>
      </c>
      <c r="AY81" s="29" t="s">
        <v>67</v>
      </c>
      <c r="AZ81" s="29" t="s">
        <v>67</v>
      </c>
      <c r="BA81" s="29" t="s">
        <v>67</v>
      </c>
      <c r="BB81" s="29" t="s">
        <v>67</v>
      </c>
      <c r="BC81" s="29" t="s">
        <v>67</v>
      </c>
      <c r="BD81" s="29" t="s">
        <v>67</v>
      </c>
      <c r="BE81" s="29" t="s">
        <v>67</v>
      </c>
      <c r="BF81" s="29">
        <v>0.0</v>
      </c>
      <c r="BG81" s="29">
        <v>0.0</v>
      </c>
      <c r="BH81" s="29" t="s">
        <v>67</v>
      </c>
      <c r="BI81" s="29" t="s">
        <v>67</v>
      </c>
      <c r="BJ81" s="29" t="s">
        <v>67</v>
      </c>
      <c r="BK81" s="29" t="s">
        <v>67</v>
      </c>
      <c r="BL81" s="29" t="s">
        <v>67</v>
      </c>
      <c r="BM81" s="29" t="s">
        <v>67</v>
      </c>
      <c r="BN81" s="34" t="str">
        <f t="shared" si="7"/>
        <v>0</v>
      </c>
    </row>
    <row r="82" ht="15.75" customHeight="1">
      <c r="A82" s="51"/>
      <c r="B82" s="65" t="s">
        <v>315</v>
      </c>
      <c r="C82" s="52" t="s">
        <v>316</v>
      </c>
      <c r="D82" s="53"/>
      <c r="E82" s="32">
        <v>3130.0</v>
      </c>
      <c r="F82" s="38" t="s">
        <v>317</v>
      </c>
      <c r="G82" s="32" t="s">
        <v>318</v>
      </c>
      <c r="H82" s="50" t="s">
        <v>319</v>
      </c>
      <c r="I82" s="38" t="s">
        <v>320</v>
      </c>
      <c r="J82" s="32">
        <v>1430.0</v>
      </c>
      <c r="K82" s="32">
        <v>315.0</v>
      </c>
      <c r="L82" s="32"/>
      <c r="M82" s="32"/>
      <c r="N82" s="32"/>
      <c r="O82" s="32"/>
      <c r="P82" s="33"/>
      <c r="Q82" s="33"/>
      <c r="R82" s="33"/>
      <c r="S82" s="33"/>
      <c r="T82" s="38">
        <v>0.0</v>
      </c>
      <c r="U82" s="38">
        <v>0.0</v>
      </c>
      <c r="V82" s="38">
        <v>0.0</v>
      </c>
      <c r="W82" s="38">
        <v>0.0</v>
      </c>
      <c r="X82" s="38">
        <v>0.0</v>
      </c>
      <c r="Y82" s="38">
        <v>0.0</v>
      </c>
      <c r="Z82" s="38">
        <v>0.0</v>
      </c>
      <c r="AA82" s="38">
        <v>0.0</v>
      </c>
      <c r="AB82" s="38">
        <v>0.0</v>
      </c>
      <c r="AC82" s="38">
        <v>0.0</v>
      </c>
      <c r="AD82" s="34" t="str">
        <f t="shared" si="5"/>
        <v>0</v>
      </c>
      <c r="AE82" s="38">
        <v>0.0</v>
      </c>
      <c r="AF82" s="38">
        <v>0.0</v>
      </c>
      <c r="AG82" s="38">
        <v>0.0</v>
      </c>
      <c r="AH82" s="38">
        <v>0.0</v>
      </c>
      <c r="AI82" s="38">
        <v>0.0</v>
      </c>
      <c r="AJ82" s="34" t="str">
        <f t="shared" si="6"/>
        <v>0</v>
      </c>
      <c r="AK82" s="38">
        <v>0.0</v>
      </c>
      <c r="AL82" s="38">
        <v>0.0</v>
      </c>
      <c r="AM82" s="38">
        <v>0.0</v>
      </c>
      <c r="AN82" s="38">
        <v>0.0</v>
      </c>
      <c r="AO82" s="38">
        <v>0.0</v>
      </c>
      <c r="AP82" s="29" t="s">
        <v>67</v>
      </c>
      <c r="AQ82" s="38">
        <v>0.0</v>
      </c>
      <c r="AR82" s="38">
        <v>0.0</v>
      </c>
      <c r="AS82" s="38" t="s">
        <v>67</v>
      </c>
      <c r="AT82" s="38" t="s">
        <v>67</v>
      </c>
      <c r="AU82" s="38" t="s">
        <v>67</v>
      </c>
      <c r="AV82" s="38" t="s">
        <v>67</v>
      </c>
      <c r="AW82" s="38" t="s">
        <v>67</v>
      </c>
      <c r="AX82" s="38" t="s">
        <v>67</v>
      </c>
      <c r="AY82" s="38" t="s">
        <v>67</v>
      </c>
      <c r="AZ82" s="38" t="s">
        <v>67</v>
      </c>
      <c r="BA82" s="38" t="s">
        <v>67</v>
      </c>
      <c r="BB82" s="38" t="s">
        <v>67</v>
      </c>
      <c r="BC82" s="38" t="s">
        <v>67</v>
      </c>
      <c r="BD82" s="38" t="s">
        <v>67</v>
      </c>
      <c r="BE82" s="38" t="s">
        <v>67</v>
      </c>
      <c r="BF82" s="38">
        <v>0.0</v>
      </c>
      <c r="BG82" s="38" t="s">
        <v>67</v>
      </c>
      <c r="BH82" s="38" t="s">
        <v>67</v>
      </c>
      <c r="BI82" s="38" t="s">
        <v>67</v>
      </c>
      <c r="BJ82" s="38" t="s">
        <v>67</v>
      </c>
      <c r="BK82" s="38" t="s">
        <v>67</v>
      </c>
      <c r="BL82" s="38" t="s">
        <v>67</v>
      </c>
      <c r="BM82" s="38" t="s">
        <v>67</v>
      </c>
      <c r="BN82" s="34" t="str">
        <f t="shared" si="7"/>
        <v>0</v>
      </c>
    </row>
    <row r="83" ht="15.75" customHeight="1">
      <c r="A83" s="38"/>
      <c r="B83" s="65" t="s">
        <v>321</v>
      </c>
      <c r="C83" s="58" t="s">
        <v>322</v>
      </c>
      <c r="D83" s="53"/>
      <c r="E83" s="38">
        <v>3130.0</v>
      </c>
      <c r="F83" s="38" t="s">
        <v>152</v>
      </c>
      <c r="G83" s="38">
        <v>9.0</v>
      </c>
      <c r="H83" s="38" t="s">
        <v>323</v>
      </c>
      <c r="I83" s="29" t="s">
        <v>65</v>
      </c>
      <c r="J83" s="38">
        <v>1868.0</v>
      </c>
      <c r="K83" s="38">
        <v>744.0</v>
      </c>
      <c r="L83" s="38"/>
      <c r="M83" s="38"/>
      <c r="N83" s="38"/>
      <c r="O83" s="38"/>
      <c r="P83" s="33"/>
      <c r="Q83" s="33"/>
      <c r="R83" s="33"/>
      <c r="S83" s="33"/>
      <c r="T83" s="38">
        <v>0.0</v>
      </c>
      <c r="U83" s="38">
        <v>0.0</v>
      </c>
      <c r="V83" s="38">
        <v>0.0</v>
      </c>
      <c r="W83" s="38">
        <v>0.0</v>
      </c>
      <c r="X83" s="38">
        <v>0.0</v>
      </c>
      <c r="Y83" s="38">
        <v>0.0</v>
      </c>
      <c r="Z83" s="38">
        <v>0.0</v>
      </c>
      <c r="AA83" s="38" t="s">
        <v>67</v>
      </c>
      <c r="AB83" s="38" t="s">
        <v>67</v>
      </c>
      <c r="AC83" s="38" t="s">
        <v>67</v>
      </c>
      <c r="AD83" s="34" t="str">
        <f t="shared" si="5"/>
        <v>0</v>
      </c>
      <c r="AE83" s="38">
        <v>0.0</v>
      </c>
      <c r="AF83" s="38">
        <v>0.0</v>
      </c>
      <c r="AG83" s="38">
        <v>0.0</v>
      </c>
      <c r="AH83" s="38">
        <v>0.0</v>
      </c>
      <c r="AI83" s="38">
        <v>0.0</v>
      </c>
      <c r="AJ83" s="34" t="str">
        <f t="shared" si="6"/>
        <v>0</v>
      </c>
      <c r="AK83" s="38">
        <v>0.0</v>
      </c>
      <c r="AL83" s="38">
        <v>0.0</v>
      </c>
      <c r="AM83" s="38">
        <v>0.0</v>
      </c>
      <c r="AN83" s="38">
        <v>0.0</v>
      </c>
      <c r="AO83" s="38">
        <v>0.0</v>
      </c>
      <c r="AP83" s="29" t="s">
        <v>67</v>
      </c>
      <c r="AQ83" s="38" t="s">
        <v>67</v>
      </c>
      <c r="AR83" s="38" t="s">
        <v>67</v>
      </c>
      <c r="AS83" s="38">
        <v>0.0</v>
      </c>
      <c r="AT83" s="38" t="s">
        <v>67</v>
      </c>
      <c r="AU83" s="38" t="s">
        <v>67</v>
      </c>
      <c r="AV83" s="38" t="s">
        <v>67</v>
      </c>
      <c r="AW83" s="38" t="s">
        <v>67</v>
      </c>
      <c r="AX83" s="38" t="s">
        <v>67</v>
      </c>
      <c r="AY83" s="38" t="s">
        <v>67</v>
      </c>
      <c r="AZ83" s="38" t="s">
        <v>67</v>
      </c>
      <c r="BA83" s="38" t="s">
        <v>67</v>
      </c>
      <c r="BB83" s="38" t="s">
        <v>67</v>
      </c>
      <c r="BC83" s="38" t="s">
        <v>67</v>
      </c>
      <c r="BD83" s="38" t="s">
        <v>67</v>
      </c>
      <c r="BE83" s="38" t="s">
        <v>67</v>
      </c>
      <c r="BF83" s="38">
        <v>0.0</v>
      </c>
      <c r="BG83" s="38">
        <v>0.0</v>
      </c>
      <c r="BH83" s="38" t="s">
        <v>67</v>
      </c>
      <c r="BI83" s="38" t="s">
        <v>67</v>
      </c>
      <c r="BJ83" s="38" t="s">
        <v>67</v>
      </c>
      <c r="BK83" s="38" t="s">
        <v>67</v>
      </c>
      <c r="BL83" s="38" t="s">
        <v>67</v>
      </c>
      <c r="BM83" s="38" t="s">
        <v>67</v>
      </c>
      <c r="BN83" s="34" t="str">
        <f t="shared" si="7"/>
        <v>0</v>
      </c>
    </row>
    <row r="84" ht="15.75" customHeight="1">
      <c r="A84" s="29"/>
      <c r="B84" s="65" t="s">
        <v>324</v>
      </c>
      <c r="C84" s="58" t="s">
        <v>325</v>
      </c>
      <c r="D84" s="53"/>
      <c r="E84" s="29">
        <v>3130.0</v>
      </c>
      <c r="F84" s="29" t="s">
        <v>118</v>
      </c>
      <c r="G84" s="29">
        <v>5.5</v>
      </c>
      <c r="H84" s="29" t="s">
        <v>326</v>
      </c>
      <c r="I84" s="29" t="s">
        <v>327</v>
      </c>
      <c r="J84" s="29">
        <v>20.0</v>
      </c>
      <c r="K84" s="29">
        <v>8.0</v>
      </c>
      <c r="L84" s="42"/>
      <c r="M84" s="42"/>
      <c r="N84" s="42"/>
      <c r="O84" s="42"/>
      <c r="P84" s="33"/>
      <c r="Q84" s="33"/>
      <c r="R84" s="33"/>
      <c r="S84" s="33"/>
      <c r="T84" s="29" t="s">
        <v>67</v>
      </c>
      <c r="U84" s="29" t="s">
        <v>67</v>
      </c>
      <c r="V84" s="29" t="s">
        <v>67</v>
      </c>
      <c r="W84" s="29" t="s">
        <v>67</v>
      </c>
      <c r="X84" s="29" t="s">
        <v>67</v>
      </c>
      <c r="Y84" s="29" t="s">
        <v>67</v>
      </c>
      <c r="Z84" s="29">
        <v>0.0</v>
      </c>
      <c r="AA84" s="29">
        <v>0.0</v>
      </c>
      <c r="AB84" s="29">
        <v>0.0</v>
      </c>
      <c r="AC84" s="29">
        <v>0.0</v>
      </c>
      <c r="AD84" s="34" t="str">
        <f t="shared" si="5"/>
        <v>0</v>
      </c>
      <c r="AE84" s="29" t="s">
        <v>67</v>
      </c>
      <c r="AF84" s="29" t="s">
        <v>67</v>
      </c>
      <c r="AG84" s="29" t="s">
        <v>67</v>
      </c>
      <c r="AH84" s="29" t="s">
        <v>67</v>
      </c>
      <c r="AI84" s="29" t="s">
        <v>67</v>
      </c>
      <c r="AJ84" s="34" t="str">
        <f t="shared" si="6"/>
        <v>0</v>
      </c>
      <c r="AK84" s="29" t="s">
        <v>67</v>
      </c>
      <c r="AL84" s="29" t="s">
        <v>67</v>
      </c>
      <c r="AM84" s="29" t="s">
        <v>67</v>
      </c>
      <c r="AN84" s="29" t="s">
        <v>67</v>
      </c>
      <c r="AO84" s="29" t="s">
        <v>67</v>
      </c>
      <c r="AP84" s="29">
        <v>0.0</v>
      </c>
      <c r="AQ84" s="29">
        <v>0.0</v>
      </c>
      <c r="AR84" s="29">
        <v>0.0</v>
      </c>
      <c r="AS84" s="29" t="s">
        <v>67</v>
      </c>
      <c r="AT84" s="29" t="s">
        <v>67</v>
      </c>
      <c r="AU84" s="29" t="s">
        <v>67</v>
      </c>
      <c r="AV84" s="29" t="s">
        <v>67</v>
      </c>
      <c r="AW84" s="29" t="s">
        <v>67</v>
      </c>
      <c r="AX84" s="29" t="s">
        <v>67</v>
      </c>
      <c r="AY84" s="29" t="s">
        <v>67</v>
      </c>
      <c r="AZ84" s="29" t="s">
        <v>67</v>
      </c>
      <c r="BA84" s="29" t="s">
        <v>67</v>
      </c>
      <c r="BB84" s="29" t="s">
        <v>67</v>
      </c>
      <c r="BC84" s="29" t="s">
        <v>67</v>
      </c>
      <c r="BD84" s="29" t="s">
        <v>67</v>
      </c>
      <c r="BE84" s="29" t="s">
        <v>67</v>
      </c>
      <c r="BF84" s="29" t="s">
        <v>67</v>
      </c>
      <c r="BG84" s="29" t="s">
        <v>67</v>
      </c>
      <c r="BH84" s="29" t="s">
        <v>67</v>
      </c>
      <c r="BI84" s="29" t="s">
        <v>67</v>
      </c>
      <c r="BJ84" s="29" t="s">
        <v>67</v>
      </c>
      <c r="BK84" s="29" t="s">
        <v>67</v>
      </c>
      <c r="BL84" s="29" t="s">
        <v>67</v>
      </c>
      <c r="BM84" s="29" t="s">
        <v>67</v>
      </c>
      <c r="BN84" s="34" t="str">
        <f t="shared" si="7"/>
        <v>0</v>
      </c>
    </row>
    <row r="85" ht="15.75" customHeight="1">
      <c r="A85" s="29"/>
      <c r="B85" s="65" t="s">
        <v>328</v>
      </c>
      <c r="C85" s="58" t="s">
        <v>329</v>
      </c>
      <c r="D85" s="53"/>
      <c r="E85" s="29">
        <v>3130.0</v>
      </c>
      <c r="F85" s="29" t="s">
        <v>330</v>
      </c>
      <c r="G85" s="29">
        <v>4.5</v>
      </c>
      <c r="H85" s="29" t="s">
        <v>331</v>
      </c>
      <c r="I85" s="29" t="s">
        <v>78</v>
      </c>
      <c r="J85" s="29">
        <v>927.0</v>
      </c>
      <c r="K85" s="29">
        <v>150.0</v>
      </c>
      <c r="L85" s="42"/>
      <c r="M85" s="42"/>
      <c r="N85" s="42"/>
      <c r="O85" s="42"/>
      <c r="P85" s="33"/>
      <c r="Q85" s="33"/>
      <c r="R85" s="33"/>
      <c r="S85" s="33"/>
      <c r="T85" s="38">
        <v>0.0</v>
      </c>
      <c r="U85" s="38">
        <v>0.0</v>
      </c>
      <c r="V85" s="38">
        <v>0.0</v>
      </c>
      <c r="W85" s="38">
        <v>0.0</v>
      </c>
      <c r="X85" s="38">
        <v>0.0</v>
      </c>
      <c r="Y85" s="38">
        <v>0.0</v>
      </c>
      <c r="Z85" s="38" t="s">
        <v>67</v>
      </c>
      <c r="AA85" s="38" t="s">
        <v>67</v>
      </c>
      <c r="AB85" s="38" t="s">
        <v>67</v>
      </c>
      <c r="AC85" s="38" t="s">
        <v>67</v>
      </c>
      <c r="AD85" s="34" t="str">
        <f t="shared" si="5"/>
        <v>0</v>
      </c>
      <c r="AE85" s="38">
        <v>0.0</v>
      </c>
      <c r="AF85" s="38">
        <v>0.0</v>
      </c>
      <c r="AG85" s="38">
        <v>0.0</v>
      </c>
      <c r="AH85" s="38">
        <v>0.0</v>
      </c>
      <c r="AI85" s="38">
        <v>0.0</v>
      </c>
      <c r="AJ85" s="34" t="str">
        <f t="shared" si="6"/>
        <v>0</v>
      </c>
      <c r="AK85" s="38">
        <v>0.0</v>
      </c>
      <c r="AL85" s="38">
        <v>0.0</v>
      </c>
      <c r="AM85" s="38">
        <v>0.0</v>
      </c>
      <c r="AN85" s="38">
        <v>0.0</v>
      </c>
      <c r="AO85" s="38">
        <v>0.0</v>
      </c>
      <c r="AP85" s="38" t="s">
        <v>67</v>
      </c>
      <c r="AQ85" s="38" t="s">
        <v>67</v>
      </c>
      <c r="AR85" s="38" t="s">
        <v>67</v>
      </c>
      <c r="AS85" s="38">
        <v>0.0</v>
      </c>
      <c r="AT85" s="38" t="s">
        <v>67</v>
      </c>
      <c r="AU85" s="38" t="s">
        <v>67</v>
      </c>
      <c r="AV85" s="38" t="s">
        <v>67</v>
      </c>
      <c r="AW85" s="38" t="s">
        <v>67</v>
      </c>
      <c r="AX85" s="38" t="s">
        <v>67</v>
      </c>
      <c r="AY85" s="38" t="s">
        <v>67</v>
      </c>
      <c r="AZ85" s="38" t="s">
        <v>67</v>
      </c>
      <c r="BA85" s="38" t="s">
        <v>67</v>
      </c>
      <c r="BB85" s="38" t="s">
        <v>67</v>
      </c>
      <c r="BC85" s="38" t="s">
        <v>67</v>
      </c>
      <c r="BD85" s="38" t="s">
        <v>67</v>
      </c>
      <c r="BE85" s="38" t="s">
        <v>67</v>
      </c>
      <c r="BF85" s="38">
        <v>0.0</v>
      </c>
      <c r="BG85" s="38" t="s">
        <v>67</v>
      </c>
      <c r="BH85" s="38" t="s">
        <v>67</v>
      </c>
      <c r="BI85" s="38" t="s">
        <v>67</v>
      </c>
      <c r="BJ85" s="38" t="s">
        <v>67</v>
      </c>
      <c r="BK85" s="38" t="s">
        <v>67</v>
      </c>
      <c r="BL85" s="38" t="s">
        <v>67</v>
      </c>
      <c r="BM85" s="38" t="s">
        <v>67</v>
      </c>
      <c r="BN85" s="34" t="str">
        <f t="shared" si="7"/>
        <v>0</v>
      </c>
    </row>
    <row r="86" ht="15.75" customHeight="1">
      <c r="A86" s="32"/>
      <c r="B86" s="66" t="s">
        <v>332</v>
      </c>
      <c r="C86" s="52" t="s">
        <v>333</v>
      </c>
      <c r="D86" s="48"/>
      <c r="E86" s="32">
        <v>3130.0</v>
      </c>
      <c r="F86" s="38" t="s">
        <v>75</v>
      </c>
      <c r="G86" s="32">
        <v>2.6</v>
      </c>
      <c r="H86" s="32" t="s">
        <v>334</v>
      </c>
      <c r="I86" s="32" t="s">
        <v>179</v>
      </c>
      <c r="J86" s="32">
        <v>60.0</v>
      </c>
      <c r="K86" s="32">
        <v>48.0</v>
      </c>
      <c r="L86" s="32"/>
      <c r="M86" s="32"/>
      <c r="N86" s="32"/>
      <c r="O86" s="32"/>
      <c r="P86" s="33"/>
      <c r="Q86" s="33"/>
      <c r="R86" s="33"/>
      <c r="S86" s="33"/>
      <c r="T86" s="38" t="s">
        <v>67</v>
      </c>
      <c r="U86" s="38" t="s">
        <v>67</v>
      </c>
      <c r="V86" s="38" t="s">
        <v>67</v>
      </c>
      <c r="W86" s="38" t="s">
        <v>67</v>
      </c>
      <c r="X86" s="38" t="s">
        <v>67</v>
      </c>
      <c r="Y86" s="38" t="s">
        <v>67</v>
      </c>
      <c r="Z86" s="38" t="s">
        <v>67</v>
      </c>
      <c r="AA86" s="38" t="s">
        <v>67</v>
      </c>
      <c r="AB86" s="38" t="s">
        <v>67</v>
      </c>
      <c r="AC86" s="38" t="s">
        <v>67</v>
      </c>
      <c r="AD86" s="34" t="str">
        <f t="shared" si="5"/>
        <v>0</v>
      </c>
      <c r="AE86" s="38" t="s">
        <v>67</v>
      </c>
      <c r="AF86" s="38" t="s">
        <v>67</v>
      </c>
      <c r="AG86" s="38" t="s">
        <v>67</v>
      </c>
      <c r="AH86" s="38" t="s">
        <v>67</v>
      </c>
      <c r="AI86" s="38" t="s">
        <v>67</v>
      </c>
      <c r="AJ86" s="34" t="str">
        <f t="shared" si="6"/>
        <v>0</v>
      </c>
      <c r="AK86" s="38" t="s">
        <v>67</v>
      </c>
      <c r="AL86" s="38" t="s">
        <v>67</v>
      </c>
      <c r="AM86" s="38" t="s">
        <v>67</v>
      </c>
      <c r="AN86" s="38" t="s">
        <v>67</v>
      </c>
      <c r="AO86" s="38" t="s">
        <v>67</v>
      </c>
      <c r="AP86" s="38" t="s">
        <v>67</v>
      </c>
      <c r="AQ86" s="38" t="s">
        <v>67</v>
      </c>
      <c r="AR86" s="38" t="s">
        <v>67</v>
      </c>
      <c r="AS86" s="38">
        <v>0.0</v>
      </c>
      <c r="AT86" s="38" t="s">
        <v>67</v>
      </c>
      <c r="AU86" s="38" t="s">
        <v>67</v>
      </c>
      <c r="AV86" s="38" t="s">
        <v>67</v>
      </c>
      <c r="AW86" s="38" t="s">
        <v>67</v>
      </c>
      <c r="AX86" s="38" t="s">
        <v>67</v>
      </c>
      <c r="AY86" s="38" t="s">
        <v>67</v>
      </c>
      <c r="AZ86" s="38" t="s">
        <v>67</v>
      </c>
      <c r="BA86" s="38" t="s">
        <v>67</v>
      </c>
      <c r="BB86" s="38" t="s">
        <v>67</v>
      </c>
      <c r="BC86" s="38" t="s">
        <v>67</v>
      </c>
      <c r="BD86" s="38" t="s">
        <v>67</v>
      </c>
      <c r="BE86" s="38" t="s">
        <v>67</v>
      </c>
      <c r="BF86" s="38" t="s">
        <v>67</v>
      </c>
      <c r="BG86" s="38" t="s">
        <v>67</v>
      </c>
      <c r="BH86" s="38" t="s">
        <v>67</v>
      </c>
      <c r="BI86" s="38" t="s">
        <v>67</v>
      </c>
      <c r="BJ86" s="38" t="s">
        <v>67</v>
      </c>
      <c r="BK86" s="38" t="s">
        <v>67</v>
      </c>
      <c r="BL86" s="38" t="s">
        <v>67</v>
      </c>
      <c r="BM86" s="38" t="s">
        <v>67</v>
      </c>
      <c r="BN86" s="34" t="str">
        <f t="shared" si="7"/>
        <v>0</v>
      </c>
    </row>
    <row r="87" ht="15.75" customHeight="1">
      <c r="A87" s="23"/>
      <c r="B87" s="11"/>
      <c r="C87" s="23"/>
      <c r="D87" s="23"/>
      <c r="E87" s="23"/>
      <c r="F87" s="38" t="s">
        <v>335</v>
      </c>
      <c r="G87" s="23"/>
      <c r="H87" s="23"/>
      <c r="I87" s="23"/>
      <c r="J87" s="23"/>
      <c r="K87" s="23"/>
      <c r="L87" s="23"/>
      <c r="M87" s="23"/>
      <c r="N87" s="23"/>
      <c r="O87" s="23"/>
      <c r="P87" s="33"/>
      <c r="Q87" s="33"/>
      <c r="R87" s="33"/>
      <c r="S87" s="33"/>
      <c r="T87" s="38" t="s">
        <v>67</v>
      </c>
      <c r="U87" s="38" t="s">
        <v>67</v>
      </c>
      <c r="V87" s="38" t="s">
        <v>67</v>
      </c>
      <c r="W87" s="38" t="s">
        <v>67</v>
      </c>
      <c r="X87" s="38" t="s">
        <v>67</v>
      </c>
      <c r="Y87" s="38" t="s">
        <v>67</v>
      </c>
      <c r="Z87" s="38" t="s">
        <v>67</v>
      </c>
      <c r="AA87" s="38" t="s">
        <v>67</v>
      </c>
      <c r="AB87" s="38" t="s">
        <v>67</v>
      </c>
      <c r="AC87" s="38" t="s">
        <v>67</v>
      </c>
      <c r="AD87" s="34" t="str">
        <f t="shared" si="5"/>
        <v>0</v>
      </c>
      <c r="AE87" s="38" t="s">
        <v>67</v>
      </c>
      <c r="AF87" s="38" t="s">
        <v>67</v>
      </c>
      <c r="AG87" s="38" t="s">
        <v>67</v>
      </c>
      <c r="AH87" s="38" t="s">
        <v>67</v>
      </c>
      <c r="AI87" s="38" t="s">
        <v>67</v>
      </c>
      <c r="AJ87" s="34" t="str">
        <f t="shared" si="6"/>
        <v>0</v>
      </c>
      <c r="AK87" s="38" t="s">
        <v>67</v>
      </c>
      <c r="AL87" s="38" t="s">
        <v>67</v>
      </c>
      <c r="AM87" s="38" t="s">
        <v>67</v>
      </c>
      <c r="AN87" s="38" t="s">
        <v>67</v>
      </c>
      <c r="AO87" s="38" t="s">
        <v>67</v>
      </c>
      <c r="AP87" s="38" t="s">
        <v>67</v>
      </c>
      <c r="AQ87" s="38" t="s">
        <v>67</v>
      </c>
      <c r="AR87" s="38" t="s">
        <v>67</v>
      </c>
      <c r="AS87" s="38">
        <v>0.0</v>
      </c>
      <c r="AT87" s="38" t="s">
        <v>67</v>
      </c>
      <c r="AU87" s="38" t="s">
        <v>67</v>
      </c>
      <c r="AV87" s="38" t="s">
        <v>67</v>
      </c>
      <c r="AW87" s="38" t="s">
        <v>67</v>
      </c>
      <c r="AX87" s="38" t="s">
        <v>67</v>
      </c>
      <c r="AY87" s="38" t="s">
        <v>67</v>
      </c>
      <c r="AZ87" s="38" t="s">
        <v>67</v>
      </c>
      <c r="BA87" s="38" t="s">
        <v>67</v>
      </c>
      <c r="BB87" s="38" t="s">
        <v>67</v>
      </c>
      <c r="BC87" s="38" t="s">
        <v>67</v>
      </c>
      <c r="BD87" s="38" t="s">
        <v>67</v>
      </c>
      <c r="BE87" s="38" t="s">
        <v>67</v>
      </c>
      <c r="BF87" s="38" t="s">
        <v>67</v>
      </c>
      <c r="BG87" s="38" t="s">
        <v>67</v>
      </c>
      <c r="BH87" s="38" t="s">
        <v>67</v>
      </c>
      <c r="BI87" s="38" t="s">
        <v>67</v>
      </c>
      <c r="BJ87" s="38" t="s">
        <v>67</v>
      </c>
      <c r="BK87" s="38" t="s">
        <v>67</v>
      </c>
      <c r="BL87" s="38" t="s">
        <v>67</v>
      </c>
      <c r="BM87" s="38" t="s">
        <v>67</v>
      </c>
      <c r="BN87" s="34" t="str">
        <f t="shared" si="7"/>
        <v>0</v>
      </c>
    </row>
    <row r="88" ht="15.75" customHeight="1">
      <c r="A88" s="32"/>
      <c r="B88" s="66" t="s">
        <v>336</v>
      </c>
      <c r="C88" s="52" t="s">
        <v>337</v>
      </c>
      <c r="D88" s="48"/>
      <c r="E88" s="32">
        <v>3130.0</v>
      </c>
      <c r="F88" s="38" t="s">
        <v>338</v>
      </c>
      <c r="G88" s="32" t="s">
        <v>339</v>
      </c>
      <c r="H88" s="38" t="s">
        <v>340</v>
      </c>
      <c r="I88" s="32" t="s">
        <v>341</v>
      </c>
      <c r="J88" s="32">
        <v>434.0</v>
      </c>
      <c r="K88" s="32">
        <v>203.0</v>
      </c>
      <c r="L88" s="32"/>
      <c r="M88" s="32"/>
      <c r="N88" s="32"/>
      <c r="O88" s="32"/>
      <c r="P88" s="33"/>
      <c r="Q88" s="33"/>
      <c r="R88" s="33"/>
      <c r="S88" s="33"/>
      <c r="T88" s="38">
        <v>0.0</v>
      </c>
      <c r="U88" s="38">
        <v>0.0</v>
      </c>
      <c r="V88" s="38">
        <v>0.0</v>
      </c>
      <c r="W88" s="38">
        <v>0.0</v>
      </c>
      <c r="X88" s="38">
        <v>0.0</v>
      </c>
      <c r="Y88" s="38">
        <v>0.0</v>
      </c>
      <c r="Z88" s="38" t="s">
        <v>67</v>
      </c>
      <c r="AA88" s="38" t="s">
        <v>67</v>
      </c>
      <c r="AB88" s="38" t="s">
        <v>67</v>
      </c>
      <c r="AC88" s="38" t="s">
        <v>67</v>
      </c>
      <c r="AD88" s="34" t="str">
        <f t="shared" si="5"/>
        <v>0</v>
      </c>
      <c r="AE88" s="38">
        <v>0.0</v>
      </c>
      <c r="AF88" s="38">
        <v>0.0</v>
      </c>
      <c r="AG88" s="38">
        <v>0.0</v>
      </c>
      <c r="AH88" s="38">
        <v>0.0</v>
      </c>
      <c r="AI88" s="38">
        <v>0.0</v>
      </c>
      <c r="AJ88" s="34" t="str">
        <f t="shared" si="6"/>
        <v>0</v>
      </c>
      <c r="AK88" s="38">
        <v>0.0</v>
      </c>
      <c r="AL88" s="38">
        <v>0.0</v>
      </c>
      <c r="AM88" s="38">
        <v>0.0</v>
      </c>
      <c r="AN88" s="38">
        <v>0.0</v>
      </c>
      <c r="AO88" s="38">
        <v>0.0</v>
      </c>
      <c r="AP88" s="38" t="s">
        <v>67</v>
      </c>
      <c r="AQ88" s="38" t="s">
        <v>67</v>
      </c>
      <c r="AR88" s="38" t="s">
        <v>67</v>
      </c>
      <c r="AS88" s="38" t="s">
        <v>67</v>
      </c>
      <c r="AT88" s="38" t="s">
        <v>67</v>
      </c>
      <c r="AU88" s="38" t="s">
        <v>67</v>
      </c>
      <c r="AV88" s="38" t="s">
        <v>67</v>
      </c>
      <c r="AW88" s="38" t="s">
        <v>67</v>
      </c>
      <c r="AX88" s="38" t="s">
        <v>67</v>
      </c>
      <c r="AY88" s="38" t="s">
        <v>67</v>
      </c>
      <c r="AZ88" s="38" t="s">
        <v>67</v>
      </c>
      <c r="BA88" s="38" t="s">
        <v>67</v>
      </c>
      <c r="BB88" s="38" t="s">
        <v>67</v>
      </c>
      <c r="BC88" s="38" t="s">
        <v>67</v>
      </c>
      <c r="BD88" s="38" t="s">
        <v>67</v>
      </c>
      <c r="BE88" s="38" t="s">
        <v>67</v>
      </c>
      <c r="BF88" s="38" t="s">
        <v>67</v>
      </c>
      <c r="BG88" s="38" t="s">
        <v>67</v>
      </c>
      <c r="BH88" s="38" t="s">
        <v>67</v>
      </c>
      <c r="BI88" s="38" t="s">
        <v>67</v>
      </c>
      <c r="BJ88" s="38" t="s">
        <v>67</v>
      </c>
      <c r="BK88" s="38" t="s">
        <v>67</v>
      </c>
      <c r="BL88" s="38" t="s">
        <v>67</v>
      </c>
      <c r="BM88" s="38" t="s">
        <v>67</v>
      </c>
      <c r="BN88" s="34" t="str">
        <f t="shared" si="7"/>
        <v>0</v>
      </c>
    </row>
    <row r="89" ht="15.75" customHeight="1">
      <c r="A89" s="11"/>
      <c r="B89" s="11"/>
      <c r="C89" s="11"/>
      <c r="D89" s="11"/>
      <c r="E89" s="11"/>
      <c r="F89" s="38" t="s">
        <v>342</v>
      </c>
      <c r="G89" s="11"/>
      <c r="H89" s="32" t="s">
        <v>343</v>
      </c>
      <c r="I89" s="11"/>
      <c r="J89" s="11"/>
      <c r="K89" s="11"/>
      <c r="L89" s="11"/>
      <c r="M89" s="11"/>
      <c r="N89" s="11"/>
      <c r="O89" s="11"/>
      <c r="P89" s="33"/>
      <c r="Q89" s="33"/>
      <c r="R89" s="33"/>
      <c r="S89" s="33"/>
      <c r="T89" s="38">
        <v>0.0</v>
      </c>
      <c r="U89" s="38">
        <v>0.0</v>
      </c>
      <c r="V89" s="38">
        <v>0.0</v>
      </c>
      <c r="W89" s="38">
        <v>0.0</v>
      </c>
      <c r="X89" s="38">
        <v>0.0</v>
      </c>
      <c r="Y89" s="38">
        <v>0.0</v>
      </c>
      <c r="Z89" s="38">
        <v>0.0</v>
      </c>
      <c r="AA89" s="38" t="s">
        <v>67</v>
      </c>
      <c r="AB89" s="38">
        <v>0.0</v>
      </c>
      <c r="AC89" s="38" t="s">
        <v>67</v>
      </c>
      <c r="AD89" s="34" t="str">
        <f t="shared" si="5"/>
        <v>0</v>
      </c>
      <c r="AE89" s="38">
        <v>0.0</v>
      </c>
      <c r="AF89" s="38">
        <v>0.0</v>
      </c>
      <c r="AG89" s="38">
        <v>0.0</v>
      </c>
      <c r="AH89" s="38">
        <v>0.0</v>
      </c>
      <c r="AI89" s="38">
        <v>0.0</v>
      </c>
      <c r="AJ89" s="34" t="str">
        <f t="shared" si="6"/>
        <v>0</v>
      </c>
      <c r="AK89" s="38">
        <v>0.0</v>
      </c>
      <c r="AL89" s="38">
        <v>0.0</v>
      </c>
      <c r="AM89" s="38">
        <v>0.0</v>
      </c>
      <c r="AN89" s="38">
        <v>0.0</v>
      </c>
      <c r="AO89" s="38">
        <v>0.0</v>
      </c>
      <c r="AP89" s="38">
        <v>0.0</v>
      </c>
      <c r="AQ89" s="38" t="s">
        <v>67</v>
      </c>
      <c r="AR89" s="38" t="s">
        <v>67</v>
      </c>
      <c r="AS89" s="38" t="s">
        <v>67</v>
      </c>
      <c r="AT89" s="38" t="s">
        <v>67</v>
      </c>
      <c r="AU89" s="38" t="s">
        <v>67</v>
      </c>
      <c r="AV89" s="38" t="s">
        <v>67</v>
      </c>
      <c r="AW89" s="38" t="s">
        <v>67</v>
      </c>
      <c r="AX89" s="38" t="s">
        <v>67</v>
      </c>
      <c r="AY89" s="38" t="s">
        <v>67</v>
      </c>
      <c r="AZ89" s="38" t="s">
        <v>67</v>
      </c>
      <c r="BA89" s="38" t="s">
        <v>67</v>
      </c>
      <c r="BB89" s="38" t="s">
        <v>67</v>
      </c>
      <c r="BC89" s="38" t="s">
        <v>67</v>
      </c>
      <c r="BD89" s="38" t="s">
        <v>67</v>
      </c>
      <c r="BE89" s="38" t="s">
        <v>67</v>
      </c>
      <c r="BF89" s="38" t="s">
        <v>67</v>
      </c>
      <c r="BG89" s="38" t="s">
        <v>67</v>
      </c>
      <c r="BH89" s="38" t="s">
        <v>67</v>
      </c>
      <c r="BI89" s="38" t="s">
        <v>67</v>
      </c>
      <c r="BJ89" s="38" t="s">
        <v>67</v>
      </c>
      <c r="BK89" s="38" t="s">
        <v>67</v>
      </c>
      <c r="BL89" s="38" t="s">
        <v>67</v>
      </c>
      <c r="BM89" s="38" t="s">
        <v>67</v>
      </c>
      <c r="BN89" s="34" t="str">
        <f t="shared" si="7"/>
        <v>0</v>
      </c>
    </row>
    <row r="90" ht="15.75" customHeight="1">
      <c r="A90" s="11"/>
      <c r="B90" s="11"/>
      <c r="C90" s="11"/>
      <c r="D90" s="11"/>
      <c r="E90" s="11"/>
      <c r="F90" s="38" t="s">
        <v>344</v>
      </c>
      <c r="G90" s="11"/>
      <c r="H90" s="23"/>
      <c r="I90" s="11"/>
      <c r="J90" s="11"/>
      <c r="K90" s="11"/>
      <c r="L90" s="11"/>
      <c r="M90" s="11"/>
      <c r="N90" s="11"/>
      <c r="O90" s="11"/>
      <c r="P90" s="33"/>
      <c r="Q90" s="33"/>
      <c r="R90" s="33"/>
      <c r="S90" s="33"/>
      <c r="T90" s="38">
        <v>0.0</v>
      </c>
      <c r="U90" s="38">
        <v>0.0</v>
      </c>
      <c r="V90" s="38">
        <v>0.0</v>
      </c>
      <c r="W90" s="38">
        <v>0.0</v>
      </c>
      <c r="X90" s="38">
        <v>0.0</v>
      </c>
      <c r="Y90" s="38">
        <v>0.0</v>
      </c>
      <c r="Z90" s="38">
        <v>0.0</v>
      </c>
      <c r="AA90" s="38" t="s">
        <v>67</v>
      </c>
      <c r="AB90" s="38">
        <v>0.0</v>
      </c>
      <c r="AC90" s="38" t="s">
        <v>67</v>
      </c>
      <c r="AD90" s="34" t="str">
        <f t="shared" si="5"/>
        <v>0</v>
      </c>
      <c r="AE90" s="38">
        <v>0.0</v>
      </c>
      <c r="AF90" s="38">
        <v>0.0</v>
      </c>
      <c r="AG90" s="38">
        <v>0.0</v>
      </c>
      <c r="AH90" s="38">
        <v>0.0</v>
      </c>
      <c r="AI90" s="38">
        <v>0.0</v>
      </c>
      <c r="AJ90" s="34" t="str">
        <f t="shared" si="6"/>
        <v>0</v>
      </c>
      <c r="AK90" s="38">
        <v>0.0</v>
      </c>
      <c r="AL90" s="38">
        <v>0.0</v>
      </c>
      <c r="AM90" s="38">
        <v>0.0</v>
      </c>
      <c r="AN90" s="38">
        <v>0.0</v>
      </c>
      <c r="AO90" s="38">
        <v>0.0</v>
      </c>
      <c r="AP90" s="38">
        <v>0.0</v>
      </c>
      <c r="AQ90" s="38" t="s">
        <v>67</v>
      </c>
      <c r="AR90" s="38" t="s">
        <v>67</v>
      </c>
      <c r="AS90" s="38" t="s">
        <v>67</v>
      </c>
      <c r="AT90" s="38" t="s">
        <v>67</v>
      </c>
      <c r="AU90" s="38" t="s">
        <v>67</v>
      </c>
      <c r="AV90" s="38" t="s">
        <v>67</v>
      </c>
      <c r="AW90" s="38" t="s">
        <v>67</v>
      </c>
      <c r="AX90" s="38" t="s">
        <v>67</v>
      </c>
      <c r="AY90" s="38" t="s">
        <v>67</v>
      </c>
      <c r="AZ90" s="38" t="s">
        <v>67</v>
      </c>
      <c r="BA90" s="38" t="s">
        <v>67</v>
      </c>
      <c r="BB90" s="38" t="s">
        <v>67</v>
      </c>
      <c r="BC90" s="38" t="s">
        <v>67</v>
      </c>
      <c r="BD90" s="38" t="s">
        <v>67</v>
      </c>
      <c r="BE90" s="38" t="s">
        <v>67</v>
      </c>
      <c r="BF90" s="38" t="s">
        <v>67</v>
      </c>
      <c r="BG90" s="38" t="s">
        <v>67</v>
      </c>
      <c r="BH90" s="38" t="s">
        <v>67</v>
      </c>
      <c r="BI90" s="38" t="s">
        <v>67</v>
      </c>
      <c r="BJ90" s="38" t="s">
        <v>67</v>
      </c>
      <c r="BK90" s="38" t="s">
        <v>67</v>
      </c>
      <c r="BL90" s="38" t="s">
        <v>67</v>
      </c>
      <c r="BM90" s="38" t="s">
        <v>67</v>
      </c>
      <c r="BN90" s="34" t="str">
        <f t="shared" si="7"/>
        <v>0</v>
      </c>
    </row>
    <row r="91" ht="15.75" customHeight="1">
      <c r="A91" s="11"/>
      <c r="B91" s="11"/>
      <c r="C91" s="11"/>
      <c r="D91" s="11"/>
      <c r="E91" s="11"/>
      <c r="F91" s="38" t="s">
        <v>345</v>
      </c>
      <c r="G91" s="11"/>
      <c r="H91" s="32" t="s">
        <v>346</v>
      </c>
      <c r="I91" s="11"/>
      <c r="J91" s="11"/>
      <c r="K91" s="11"/>
      <c r="L91" s="11"/>
      <c r="M91" s="11"/>
      <c r="N91" s="11"/>
      <c r="O91" s="11"/>
      <c r="P91" s="33"/>
      <c r="Q91" s="33"/>
      <c r="R91" s="33"/>
      <c r="S91" s="33"/>
      <c r="T91" s="38" t="s">
        <v>67</v>
      </c>
      <c r="U91" s="38" t="s">
        <v>67</v>
      </c>
      <c r="V91" s="38" t="s">
        <v>67</v>
      </c>
      <c r="W91" s="38">
        <v>0.0</v>
      </c>
      <c r="X91" s="38">
        <v>0.0</v>
      </c>
      <c r="Y91" s="38" t="s">
        <v>67</v>
      </c>
      <c r="Z91" s="38" t="s">
        <v>67</v>
      </c>
      <c r="AA91" s="38" t="s">
        <v>67</v>
      </c>
      <c r="AB91" s="38" t="s">
        <v>67</v>
      </c>
      <c r="AC91" s="38" t="s">
        <v>67</v>
      </c>
      <c r="AD91" s="34" t="str">
        <f t="shared" si="5"/>
        <v>0</v>
      </c>
      <c r="AE91" s="38" t="s">
        <v>67</v>
      </c>
      <c r="AF91" s="38" t="s">
        <v>67</v>
      </c>
      <c r="AG91" s="38">
        <v>0.0</v>
      </c>
      <c r="AH91" s="38">
        <v>0.0</v>
      </c>
      <c r="AI91" s="38">
        <v>0.0</v>
      </c>
      <c r="AJ91" s="34" t="str">
        <f t="shared" si="6"/>
        <v>0</v>
      </c>
      <c r="AK91" s="38" t="s">
        <v>67</v>
      </c>
      <c r="AL91" s="38" t="s">
        <v>67</v>
      </c>
      <c r="AM91" s="38">
        <v>0.0</v>
      </c>
      <c r="AN91" s="38" t="s">
        <v>67</v>
      </c>
      <c r="AO91" s="38" t="s">
        <v>67</v>
      </c>
      <c r="AP91" s="38" t="s">
        <v>67</v>
      </c>
      <c r="AQ91" s="38" t="s">
        <v>67</v>
      </c>
      <c r="AR91" s="38" t="s">
        <v>67</v>
      </c>
      <c r="AS91" s="38" t="s">
        <v>67</v>
      </c>
      <c r="AT91" s="38" t="s">
        <v>67</v>
      </c>
      <c r="AU91" s="38" t="s">
        <v>67</v>
      </c>
      <c r="AV91" s="38" t="s">
        <v>67</v>
      </c>
      <c r="AW91" s="38" t="s">
        <v>67</v>
      </c>
      <c r="AX91" s="38" t="s">
        <v>67</v>
      </c>
      <c r="AY91" s="38" t="s">
        <v>67</v>
      </c>
      <c r="AZ91" s="38" t="s">
        <v>67</v>
      </c>
      <c r="BA91" s="38" t="s">
        <v>67</v>
      </c>
      <c r="BB91" s="38" t="s">
        <v>67</v>
      </c>
      <c r="BC91" s="38" t="s">
        <v>67</v>
      </c>
      <c r="BD91" s="38" t="s">
        <v>67</v>
      </c>
      <c r="BE91" s="38" t="s">
        <v>67</v>
      </c>
      <c r="BF91" s="38" t="s">
        <v>67</v>
      </c>
      <c r="BG91" s="38" t="s">
        <v>67</v>
      </c>
      <c r="BH91" s="38" t="s">
        <v>67</v>
      </c>
      <c r="BI91" s="38" t="s">
        <v>67</v>
      </c>
      <c r="BJ91" s="38" t="s">
        <v>67</v>
      </c>
      <c r="BK91" s="38" t="s">
        <v>67</v>
      </c>
      <c r="BL91" s="38" t="s">
        <v>67</v>
      </c>
      <c r="BM91" s="38" t="s">
        <v>67</v>
      </c>
      <c r="BN91" s="34" t="str">
        <f t="shared" si="7"/>
        <v>0</v>
      </c>
    </row>
    <row r="92" ht="15.75" customHeight="1">
      <c r="A92" s="23"/>
      <c r="B92" s="11"/>
      <c r="C92" s="23"/>
      <c r="D92" s="23"/>
      <c r="E92" s="23"/>
      <c r="F92" s="38" t="s">
        <v>188</v>
      </c>
      <c r="G92" s="23"/>
      <c r="H92" s="23"/>
      <c r="I92" s="23"/>
      <c r="J92" s="23"/>
      <c r="K92" s="23"/>
      <c r="L92" s="23"/>
      <c r="M92" s="23"/>
      <c r="N92" s="23"/>
      <c r="O92" s="23"/>
      <c r="P92" s="33"/>
      <c r="Q92" s="33"/>
      <c r="R92" s="33"/>
      <c r="S92" s="33"/>
      <c r="T92" s="38" t="s">
        <v>67</v>
      </c>
      <c r="U92" s="38" t="s">
        <v>67</v>
      </c>
      <c r="V92" s="38" t="s">
        <v>67</v>
      </c>
      <c r="W92" s="38">
        <v>0.0</v>
      </c>
      <c r="X92" s="38">
        <v>0.0</v>
      </c>
      <c r="Y92" s="38" t="s">
        <v>67</v>
      </c>
      <c r="Z92" s="38" t="s">
        <v>67</v>
      </c>
      <c r="AA92" s="38" t="s">
        <v>67</v>
      </c>
      <c r="AB92" s="38" t="s">
        <v>67</v>
      </c>
      <c r="AC92" s="38" t="s">
        <v>67</v>
      </c>
      <c r="AD92" s="34" t="str">
        <f t="shared" si="5"/>
        <v>0</v>
      </c>
      <c r="AE92" s="38" t="s">
        <v>67</v>
      </c>
      <c r="AF92" s="38" t="s">
        <v>67</v>
      </c>
      <c r="AG92" s="38">
        <v>0.0</v>
      </c>
      <c r="AH92" s="38">
        <v>0.0</v>
      </c>
      <c r="AI92" s="38">
        <v>0.0</v>
      </c>
      <c r="AJ92" s="34" t="str">
        <f t="shared" si="6"/>
        <v>0</v>
      </c>
      <c r="AK92" s="38" t="s">
        <v>67</v>
      </c>
      <c r="AL92" s="38" t="s">
        <v>67</v>
      </c>
      <c r="AM92" s="38">
        <v>0.0</v>
      </c>
      <c r="AN92" s="38" t="s">
        <v>67</v>
      </c>
      <c r="AO92" s="38" t="s">
        <v>67</v>
      </c>
      <c r="AP92" s="38" t="s">
        <v>67</v>
      </c>
      <c r="AQ92" s="38" t="s">
        <v>67</v>
      </c>
      <c r="AR92" s="38" t="s">
        <v>67</v>
      </c>
      <c r="AS92" s="38" t="s">
        <v>67</v>
      </c>
      <c r="AT92" s="38" t="s">
        <v>67</v>
      </c>
      <c r="AU92" s="38" t="s">
        <v>67</v>
      </c>
      <c r="AV92" s="38" t="s">
        <v>67</v>
      </c>
      <c r="AW92" s="38" t="s">
        <v>67</v>
      </c>
      <c r="AX92" s="38" t="s">
        <v>67</v>
      </c>
      <c r="AY92" s="38" t="s">
        <v>67</v>
      </c>
      <c r="AZ92" s="38" t="s">
        <v>67</v>
      </c>
      <c r="BA92" s="38" t="s">
        <v>67</v>
      </c>
      <c r="BB92" s="38" t="s">
        <v>67</v>
      </c>
      <c r="BC92" s="38" t="s">
        <v>67</v>
      </c>
      <c r="BD92" s="38" t="s">
        <v>67</v>
      </c>
      <c r="BE92" s="38" t="s">
        <v>67</v>
      </c>
      <c r="BF92" s="38" t="s">
        <v>67</v>
      </c>
      <c r="BG92" s="38" t="s">
        <v>67</v>
      </c>
      <c r="BH92" s="38" t="s">
        <v>67</v>
      </c>
      <c r="BI92" s="38" t="s">
        <v>67</v>
      </c>
      <c r="BJ92" s="38" t="s">
        <v>67</v>
      </c>
      <c r="BK92" s="38" t="s">
        <v>67</v>
      </c>
      <c r="BL92" s="38" t="s">
        <v>67</v>
      </c>
      <c r="BM92" s="38" t="s">
        <v>67</v>
      </c>
      <c r="BN92" s="34" t="str">
        <f t="shared" si="7"/>
        <v>0</v>
      </c>
    </row>
    <row r="93" ht="15.75" customHeight="1">
      <c r="A93" s="29"/>
      <c r="B93" s="65" t="s">
        <v>347</v>
      </c>
      <c r="C93" s="58" t="s">
        <v>348</v>
      </c>
      <c r="D93" s="55"/>
      <c r="E93" s="29">
        <v>3130.0</v>
      </c>
      <c r="F93" s="29" t="s">
        <v>349</v>
      </c>
      <c r="G93" s="29" t="s">
        <v>350</v>
      </c>
      <c r="H93" s="29" t="s">
        <v>351</v>
      </c>
      <c r="I93" s="29" t="s">
        <v>109</v>
      </c>
      <c r="J93" s="29">
        <v>1132.0</v>
      </c>
      <c r="K93" s="29">
        <v>427.0</v>
      </c>
      <c r="L93" s="42"/>
      <c r="M93" s="42"/>
      <c r="N93" s="42"/>
      <c r="O93" s="42"/>
      <c r="P93" s="33"/>
      <c r="Q93" s="33"/>
      <c r="R93" s="33"/>
      <c r="S93" s="33"/>
      <c r="T93" s="38">
        <v>0.0</v>
      </c>
      <c r="U93" s="38">
        <v>0.0</v>
      </c>
      <c r="V93" s="38">
        <v>0.0</v>
      </c>
      <c r="W93" s="38">
        <v>0.0</v>
      </c>
      <c r="X93" s="38">
        <v>0.0</v>
      </c>
      <c r="Y93" s="38">
        <v>0.0</v>
      </c>
      <c r="Z93" s="38">
        <v>0.0</v>
      </c>
      <c r="AA93" s="38" t="s">
        <v>67</v>
      </c>
      <c r="AB93" s="38" t="s">
        <v>67</v>
      </c>
      <c r="AC93" s="38" t="s">
        <v>67</v>
      </c>
      <c r="AD93" s="34" t="str">
        <f t="shared" si="5"/>
        <v>0</v>
      </c>
      <c r="AE93" s="38">
        <v>0.0</v>
      </c>
      <c r="AF93" s="38">
        <v>0.0</v>
      </c>
      <c r="AG93" s="38">
        <v>0.0</v>
      </c>
      <c r="AH93" s="38">
        <v>0.0</v>
      </c>
      <c r="AI93" s="38">
        <v>0.0</v>
      </c>
      <c r="AJ93" s="34" t="str">
        <f t="shared" si="6"/>
        <v>0</v>
      </c>
      <c r="AK93" s="38">
        <v>0.0</v>
      </c>
      <c r="AL93" s="38">
        <v>0.0</v>
      </c>
      <c r="AM93" s="38">
        <v>0.0</v>
      </c>
      <c r="AN93" s="38">
        <v>0.0</v>
      </c>
      <c r="AO93" s="38">
        <v>0.0</v>
      </c>
      <c r="AP93" s="38" t="s">
        <v>67</v>
      </c>
      <c r="AQ93" s="38" t="s">
        <v>67</v>
      </c>
      <c r="AR93" s="38" t="s">
        <v>67</v>
      </c>
      <c r="AS93" s="38" t="s">
        <v>67</v>
      </c>
      <c r="AT93" s="38" t="s">
        <v>67</v>
      </c>
      <c r="AU93" s="38" t="s">
        <v>67</v>
      </c>
      <c r="AV93" s="38" t="s">
        <v>67</v>
      </c>
      <c r="AW93" s="38" t="s">
        <v>67</v>
      </c>
      <c r="AX93" s="38" t="s">
        <v>67</v>
      </c>
      <c r="AY93" s="38" t="s">
        <v>67</v>
      </c>
      <c r="AZ93" s="38" t="s">
        <v>67</v>
      </c>
      <c r="BA93" s="38" t="s">
        <v>67</v>
      </c>
      <c r="BB93" s="38" t="s">
        <v>67</v>
      </c>
      <c r="BC93" s="38" t="s">
        <v>67</v>
      </c>
      <c r="BD93" s="38" t="s">
        <v>67</v>
      </c>
      <c r="BE93" s="38" t="s">
        <v>67</v>
      </c>
      <c r="BF93" s="38">
        <v>0.0</v>
      </c>
      <c r="BG93" s="38">
        <v>0.0</v>
      </c>
      <c r="BH93" s="38" t="s">
        <v>67</v>
      </c>
      <c r="BI93" s="38" t="s">
        <v>67</v>
      </c>
      <c r="BJ93" s="38" t="s">
        <v>67</v>
      </c>
      <c r="BK93" s="38" t="s">
        <v>67</v>
      </c>
      <c r="BL93" s="38" t="s">
        <v>67</v>
      </c>
      <c r="BM93" s="38" t="s">
        <v>67</v>
      </c>
      <c r="BN93" s="34" t="str">
        <f t="shared" si="7"/>
        <v>0</v>
      </c>
    </row>
    <row r="94" ht="15.75" customHeight="1">
      <c r="A94" s="29"/>
      <c r="B94" s="65" t="s">
        <v>352</v>
      </c>
      <c r="C94" s="58" t="s">
        <v>353</v>
      </c>
      <c r="D94" s="55"/>
      <c r="E94" s="29">
        <v>3130.0</v>
      </c>
      <c r="F94" s="29" t="s">
        <v>354</v>
      </c>
      <c r="G94" s="29"/>
      <c r="H94" s="29" t="s">
        <v>355</v>
      </c>
      <c r="I94" s="29" t="s">
        <v>356</v>
      </c>
      <c r="J94" s="29">
        <v>798.0</v>
      </c>
      <c r="K94" s="29">
        <v>382.0</v>
      </c>
      <c r="L94" s="42"/>
      <c r="M94" s="42"/>
      <c r="N94" s="42"/>
      <c r="O94" s="42"/>
      <c r="P94" s="33"/>
      <c r="Q94" s="33"/>
      <c r="R94" s="33"/>
      <c r="S94" s="33"/>
      <c r="T94" s="38">
        <v>0.0</v>
      </c>
      <c r="U94" s="38">
        <v>0.0</v>
      </c>
      <c r="V94" s="38">
        <v>0.0</v>
      </c>
      <c r="W94" s="38">
        <v>0.0</v>
      </c>
      <c r="X94" s="38">
        <v>0.0</v>
      </c>
      <c r="Y94" s="38">
        <v>0.0</v>
      </c>
      <c r="Z94" s="38">
        <v>0.0</v>
      </c>
      <c r="AA94" s="38" t="s">
        <v>67</v>
      </c>
      <c r="AB94" s="38" t="s">
        <v>67</v>
      </c>
      <c r="AC94" s="38" t="s">
        <v>67</v>
      </c>
      <c r="AD94" s="34" t="str">
        <f t="shared" si="5"/>
        <v>0</v>
      </c>
      <c r="AE94" s="38">
        <v>0.0</v>
      </c>
      <c r="AF94" s="38">
        <v>0.0</v>
      </c>
      <c r="AG94" s="38">
        <v>0.0</v>
      </c>
      <c r="AH94" s="38">
        <v>0.0</v>
      </c>
      <c r="AI94" s="38">
        <v>0.0</v>
      </c>
      <c r="AJ94" s="34" t="str">
        <f t="shared" si="6"/>
        <v>0</v>
      </c>
      <c r="AK94" s="38">
        <v>0.0</v>
      </c>
      <c r="AL94" s="38">
        <v>0.0</v>
      </c>
      <c r="AM94" s="38">
        <v>0.0</v>
      </c>
      <c r="AN94" s="38">
        <v>0.0</v>
      </c>
      <c r="AO94" s="38">
        <v>0.0</v>
      </c>
      <c r="AP94" s="38" t="s">
        <v>67</v>
      </c>
      <c r="AQ94" s="38" t="s">
        <v>67</v>
      </c>
      <c r="AR94" s="38" t="s">
        <v>67</v>
      </c>
      <c r="AS94" s="38" t="s">
        <v>67</v>
      </c>
      <c r="AT94" s="38" t="s">
        <v>67</v>
      </c>
      <c r="AU94" s="38" t="s">
        <v>67</v>
      </c>
      <c r="AV94" s="38" t="s">
        <v>67</v>
      </c>
      <c r="AW94" s="38" t="s">
        <v>67</v>
      </c>
      <c r="AX94" s="38" t="s">
        <v>67</v>
      </c>
      <c r="AY94" s="38" t="s">
        <v>67</v>
      </c>
      <c r="AZ94" s="38" t="s">
        <v>67</v>
      </c>
      <c r="BA94" s="38" t="s">
        <v>67</v>
      </c>
      <c r="BB94" s="38" t="s">
        <v>67</v>
      </c>
      <c r="BC94" s="38" t="s">
        <v>67</v>
      </c>
      <c r="BD94" s="38" t="s">
        <v>67</v>
      </c>
      <c r="BE94" s="38" t="s">
        <v>67</v>
      </c>
      <c r="BF94" s="38" t="s">
        <v>67</v>
      </c>
      <c r="BG94" s="38">
        <v>0.0</v>
      </c>
      <c r="BH94" s="38" t="s">
        <v>67</v>
      </c>
      <c r="BI94" s="38" t="s">
        <v>67</v>
      </c>
      <c r="BJ94" s="38" t="s">
        <v>67</v>
      </c>
      <c r="BK94" s="38" t="s">
        <v>67</v>
      </c>
      <c r="BL94" s="38" t="s">
        <v>67</v>
      </c>
      <c r="BM94" s="38" t="s">
        <v>67</v>
      </c>
      <c r="BN94" s="34" t="str">
        <f t="shared" si="7"/>
        <v>0</v>
      </c>
    </row>
    <row r="95" ht="15.75" customHeight="1">
      <c r="A95" s="29"/>
      <c r="B95" s="65" t="s">
        <v>357</v>
      </c>
      <c r="C95" s="58" t="s">
        <v>358</v>
      </c>
      <c r="D95" s="55"/>
      <c r="E95" s="29">
        <v>3130.0</v>
      </c>
      <c r="F95" s="29" t="s">
        <v>359</v>
      </c>
      <c r="G95" s="29">
        <v>5.0</v>
      </c>
      <c r="H95" s="29" t="s">
        <v>360</v>
      </c>
      <c r="I95" s="29" t="s">
        <v>361</v>
      </c>
      <c r="J95" s="29">
        <v>1034.0</v>
      </c>
      <c r="K95" s="29">
        <v>427.0</v>
      </c>
      <c r="L95" s="42"/>
      <c r="M95" s="42"/>
      <c r="N95" s="42"/>
      <c r="O95" s="42"/>
      <c r="P95" s="33"/>
      <c r="Q95" s="33"/>
      <c r="R95" s="33"/>
      <c r="S95" s="33"/>
      <c r="T95" s="38">
        <v>0.0</v>
      </c>
      <c r="U95" s="38">
        <v>0.0</v>
      </c>
      <c r="V95" s="38">
        <v>0.0</v>
      </c>
      <c r="W95" s="38">
        <v>0.0</v>
      </c>
      <c r="X95" s="38">
        <v>0.0</v>
      </c>
      <c r="Y95" s="38">
        <v>0.0</v>
      </c>
      <c r="Z95" s="38">
        <v>0.0</v>
      </c>
      <c r="AA95" s="38" t="s">
        <v>67</v>
      </c>
      <c r="AB95" s="38" t="s">
        <v>67</v>
      </c>
      <c r="AC95" s="38" t="s">
        <v>67</v>
      </c>
      <c r="AD95" s="34" t="str">
        <f t="shared" si="5"/>
        <v>0</v>
      </c>
      <c r="AE95" s="38">
        <v>0.0</v>
      </c>
      <c r="AF95" s="38">
        <v>0.0</v>
      </c>
      <c r="AG95" s="38">
        <v>0.0</v>
      </c>
      <c r="AH95" s="38">
        <v>0.0</v>
      </c>
      <c r="AI95" s="38">
        <v>0.0</v>
      </c>
      <c r="AJ95" s="34" t="str">
        <f t="shared" si="6"/>
        <v>0</v>
      </c>
      <c r="AK95" s="38">
        <v>0.0</v>
      </c>
      <c r="AL95" s="38">
        <v>0.0</v>
      </c>
      <c r="AM95" s="38">
        <v>0.0</v>
      </c>
      <c r="AN95" s="38">
        <v>0.0</v>
      </c>
      <c r="AO95" s="38">
        <v>0.0</v>
      </c>
      <c r="AP95" s="38" t="s">
        <v>67</v>
      </c>
      <c r="AQ95" s="38" t="s">
        <v>67</v>
      </c>
      <c r="AR95" s="38" t="s">
        <v>67</v>
      </c>
      <c r="AS95" s="38">
        <v>0.0</v>
      </c>
      <c r="AT95" s="38" t="s">
        <v>67</v>
      </c>
      <c r="AU95" s="38" t="s">
        <v>67</v>
      </c>
      <c r="AV95" s="38" t="s">
        <v>67</v>
      </c>
      <c r="AW95" s="38" t="s">
        <v>67</v>
      </c>
      <c r="AX95" s="38" t="s">
        <v>67</v>
      </c>
      <c r="AY95" s="38" t="s">
        <v>67</v>
      </c>
      <c r="AZ95" s="38" t="s">
        <v>67</v>
      </c>
      <c r="BA95" s="38" t="s">
        <v>67</v>
      </c>
      <c r="BB95" s="38" t="s">
        <v>67</v>
      </c>
      <c r="BC95" s="38" t="s">
        <v>67</v>
      </c>
      <c r="BD95" s="38" t="s">
        <v>67</v>
      </c>
      <c r="BE95" s="38" t="s">
        <v>67</v>
      </c>
      <c r="BF95" s="38">
        <v>0.0</v>
      </c>
      <c r="BG95" s="38">
        <v>0.0</v>
      </c>
      <c r="BH95" s="38" t="s">
        <v>67</v>
      </c>
      <c r="BI95" s="38" t="s">
        <v>67</v>
      </c>
      <c r="BJ95" s="38" t="s">
        <v>67</v>
      </c>
      <c r="BK95" s="38" t="s">
        <v>67</v>
      </c>
      <c r="BL95" s="38" t="s">
        <v>67</v>
      </c>
      <c r="BM95" s="38" t="s">
        <v>67</v>
      </c>
      <c r="BN95" s="34" t="str">
        <f t="shared" si="7"/>
        <v>0</v>
      </c>
    </row>
    <row r="96" ht="15.75" customHeight="1">
      <c r="A96" s="29"/>
      <c r="B96" s="65" t="s">
        <v>362</v>
      </c>
      <c r="C96" s="58" t="s">
        <v>363</v>
      </c>
      <c r="D96" s="55"/>
      <c r="E96" s="29">
        <v>3130.0</v>
      </c>
      <c r="F96" s="29" t="s">
        <v>364</v>
      </c>
      <c r="G96" s="29" t="s">
        <v>365</v>
      </c>
      <c r="H96" s="29" t="s">
        <v>366</v>
      </c>
      <c r="I96" s="29" t="s">
        <v>179</v>
      </c>
      <c r="J96" s="29">
        <v>7.0</v>
      </c>
      <c r="K96" s="29">
        <v>4.0</v>
      </c>
      <c r="L96" s="42"/>
      <c r="M96" s="42"/>
      <c r="N96" s="42"/>
      <c r="O96" s="42"/>
      <c r="P96" s="33"/>
      <c r="Q96" s="33"/>
      <c r="R96" s="33"/>
      <c r="S96" s="33"/>
      <c r="T96" s="38" t="s">
        <v>67</v>
      </c>
      <c r="U96" s="38" t="s">
        <v>67</v>
      </c>
      <c r="V96" s="38" t="s">
        <v>67</v>
      </c>
      <c r="W96" s="38" t="s">
        <v>67</v>
      </c>
      <c r="X96" s="38" t="s">
        <v>67</v>
      </c>
      <c r="Y96" s="38" t="s">
        <v>67</v>
      </c>
      <c r="Z96" s="38" t="s">
        <v>67</v>
      </c>
      <c r="AA96" s="38" t="s">
        <v>67</v>
      </c>
      <c r="AB96" s="38" t="s">
        <v>67</v>
      </c>
      <c r="AC96" s="38">
        <v>0.0</v>
      </c>
      <c r="AD96" s="34" t="str">
        <f t="shared" si="5"/>
        <v>0</v>
      </c>
      <c r="AE96" s="38" t="s">
        <v>67</v>
      </c>
      <c r="AF96" s="38" t="s">
        <v>67</v>
      </c>
      <c r="AG96" s="38" t="s">
        <v>67</v>
      </c>
      <c r="AH96" s="38" t="s">
        <v>67</v>
      </c>
      <c r="AI96" s="38" t="s">
        <v>67</v>
      </c>
      <c r="AJ96" s="34" t="str">
        <f t="shared" si="6"/>
        <v>0</v>
      </c>
      <c r="AK96" s="38" t="s">
        <v>67</v>
      </c>
      <c r="AL96" s="38" t="s">
        <v>67</v>
      </c>
      <c r="AM96" s="38" t="s">
        <v>67</v>
      </c>
      <c r="AN96" s="38" t="s">
        <v>67</v>
      </c>
      <c r="AO96" s="38" t="s">
        <v>67</v>
      </c>
      <c r="AP96" s="38" t="s">
        <v>67</v>
      </c>
      <c r="AQ96" s="38" t="s">
        <v>67</v>
      </c>
      <c r="AR96" s="38">
        <v>0.0</v>
      </c>
      <c r="AS96" s="38" t="s">
        <v>67</v>
      </c>
      <c r="AT96" s="38" t="s">
        <v>67</v>
      </c>
      <c r="AU96" s="38" t="s">
        <v>67</v>
      </c>
      <c r="AV96" s="38" t="s">
        <v>67</v>
      </c>
      <c r="AW96" s="38" t="s">
        <v>67</v>
      </c>
      <c r="AX96" s="38" t="s">
        <v>67</v>
      </c>
      <c r="AY96" s="38" t="s">
        <v>67</v>
      </c>
      <c r="AZ96" s="38" t="s">
        <v>67</v>
      </c>
      <c r="BA96" s="38" t="s">
        <v>67</v>
      </c>
      <c r="BB96" s="38" t="s">
        <v>67</v>
      </c>
      <c r="BC96" s="38" t="s">
        <v>67</v>
      </c>
      <c r="BD96" s="38" t="s">
        <v>67</v>
      </c>
      <c r="BE96" s="38" t="s">
        <v>67</v>
      </c>
      <c r="BF96" s="38" t="s">
        <v>67</v>
      </c>
      <c r="BG96" s="38" t="s">
        <v>67</v>
      </c>
      <c r="BH96" s="38" t="s">
        <v>67</v>
      </c>
      <c r="BI96" s="38" t="s">
        <v>67</v>
      </c>
      <c r="BJ96" s="38" t="s">
        <v>67</v>
      </c>
      <c r="BK96" s="38" t="s">
        <v>67</v>
      </c>
      <c r="BL96" s="38" t="s">
        <v>67</v>
      </c>
      <c r="BM96" s="38" t="s">
        <v>67</v>
      </c>
      <c r="BN96" s="34" t="str">
        <f t="shared" si="7"/>
        <v>0</v>
      </c>
    </row>
    <row r="97" ht="15.75" customHeight="1">
      <c r="A97" s="29"/>
      <c r="B97" s="65" t="s">
        <v>367</v>
      </c>
      <c r="C97" s="58" t="s">
        <v>368</v>
      </c>
      <c r="D97" s="55"/>
      <c r="E97" s="29">
        <v>3130.0</v>
      </c>
      <c r="F97" s="29" t="s">
        <v>369</v>
      </c>
      <c r="G97" s="29">
        <v>5.0</v>
      </c>
      <c r="H97" s="29" t="s">
        <v>370</v>
      </c>
      <c r="I97" s="29" t="s">
        <v>371</v>
      </c>
      <c r="J97" s="29">
        <v>19.0</v>
      </c>
      <c r="K97" s="29">
        <v>11.0</v>
      </c>
      <c r="L97" s="42"/>
      <c r="M97" s="42"/>
      <c r="N97" s="42"/>
      <c r="O97" s="42"/>
      <c r="P97" s="33"/>
      <c r="Q97" s="33"/>
      <c r="R97" s="33"/>
      <c r="S97" s="33"/>
      <c r="T97" s="38" t="s">
        <v>67</v>
      </c>
      <c r="U97" s="38" t="s">
        <v>67</v>
      </c>
      <c r="V97" s="38" t="s">
        <v>67</v>
      </c>
      <c r="W97" s="38" t="s">
        <v>67</v>
      </c>
      <c r="X97" s="38" t="s">
        <v>67</v>
      </c>
      <c r="Y97" s="38" t="s">
        <v>67</v>
      </c>
      <c r="Z97" s="38">
        <v>0.0</v>
      </c>
      <c r="AA97" s="38" t="s">
        <v>67</v>
      </c>
      <c r="AB97" s="38">
        <v>0.0</v>
      </c>
      <c r="AC97" s="38">
        <v>0.0</v>
      </c>
      <c r="AD97" s="34" t="str">
        <f t="shared" si="5"/>
        <v>0</v>
      </c>
      <c r="AE97" s="38" t="s">
        <v>67</v>
      </c>
      <c r="AF97" s="38" t="s">
        <v>67</v>
      </c>
      <c r="AG97" s="38" t="s">
        <v>67</v>
      </c>
      <c r="AH97" s="38" t="s">
        <v>67</v>
      </c>
      <c r="AI97" s="38" t="s">
        <v>67</v>
      </c>
      <c r="AJ97" s="34" t="str">
        <f t="shared" si="6"/>
        <v>0</v>
      </c>
      <c r="AK97" s="38" t="s">
        <v>67</v>
      </c>
      <c r="AL97" s="38" t="s">
        <v>67</v>
      </c>
      <c r="AM97" s="38" t="s">
        <v>67</v>
      </c>
      <c r="AN97" s="38" t="s">
        <v>67</v>
      </c>
      <c r="AO97" s="38" t="s">
        <v>67</v>
      </c>
      <c r="AP97" s="38">
        <v>0.0</v>
      </c>
      <c r="AQ97" s="38" t="s">
        <v>67</v>
      </c>
      <c r="AR97" s="38">
        <v>0.0</v>
      </c>
      <c r="AS97" s="38" t="s">
        <v>67</v>
      </c>
      <c r="AT97" s="38" t="s">
        <v>67</v>
      </c>
      <c r="AU97" s="38" t="s">
        <v>67</v>
      </c>
      <c r="AV97" s="38" t="s">
        <v>67</v>
      </c>
      <c r="AW97" s="38" t="s">
        <v>67</v>
      </c>
      <c r="AX97" s="38" t="s">
        <v>67</v>
      </c>
      <c r="AY97" s="38" t="s">
        <v>67</v>
      </c>
      <c r="AZ97" s="38" t="s">
        <v>67</v>
      </c>
      <c r="BA97" s="38" t="s">
        <v>67</v>
      </c>
      <c r="BB97" s="38" t="s">
        <v>67</v>
      </c>
      <c r="BC97" s="38" t="s">
        <v>67</v>
      </c>
      <c r="BD97" s="38" t="s">
        <v>67</v>
      </c>
      <c r="BE97" s="38" t="s">
        <v>67</v>
      </c>
      <c r="BF97" s="38" t="s">
        <v>67</v>
      </c>
      <c r="BG97" s="38" t="s">
        <v>67</v>
      </c>
      <c r="BH97" s="38" t="s">
        <v>67</v>
      </c>
      <c r="BI97" s="38" t="s">
        <v>67</v>
      </c>
      <c r="BJ97" s="38" t="s">
        <v>67</v>
      </c>
      <c r="BK97" s="38" t="s">
        <v>67</v>
      </c>
      <c r="BL97" s="38" t="s">
        <v>67</v>
      </c>
      <c r="BM97" s="38" t="s">
        <v>67</v>
      </c>
      <c r="BN97" s="34" t="str">
        <f t="shared" si="7"/>
        <v>0</v>
      </c>
    </row>
    <row r="98" ht="15.75" customHeight="1">
      <c r="A98" s="29"/>
      <c r="B98" s="65" t="s">
        <v>372</v>
      </c>
      <c r="C98" s="58" t="s">
        <v>373</v>
      </c>
      <c r="D98" s="55"/>
      <c r="E98" s="29">
        <v>9198.0</v>
      </c>
      <c r="F98" s="29" t="s">
        <v>374</v>
      </c>
      <c r="G98" s="29">
        <v>4.5</v>
      </c>
      <c r="H98" s="29" t="s">
        <v>375</v>
      </c>
      <c r="I98" s="29" t="s">
        <v>218</v>
      </c>
      <c r="J98" s="29">
        <v>990.0</v>
      </c>
      <c r="K98" s="29">
        <v>373.0</v>
      </c>
      <c r="L98" s="42"/>
      <c r="M98" s="42"/>
      <c r="N98" s="42"/>
      <c r="O98" s="42"/>
      <c r="P98" s="33"/>
      <c r="Q98" s="33"/>
      <c r="R98" s="33"/>
      <c r="S98" s="33"/>
      <c r="T98" s="38">
        <v>0.0</v>
      </c>
      <c r="U98" s="38">
        <v>0.0</v>
      </c>
      <c r="V98" s="38">
        <v>0.0</v>
      </c>
      <c r="W98" s="38">
        <v>0.0</v>
      </c>
      <c r="X98" s="38">
        <v>0.0</v>
      </c>
      <c r="Y98" s="38" t="s">
        <v>67</v>
      </c>
      <c r="Z98" s="38" t="s">
        <v>67</v>
      </c>
      <c r="AA98" s="38" t="s">
        <v>67</v>
      </c>
      <c r="AB98" s="38" t="s">
        <v>67</v>
      </c>
      <c r="AC98" s="38" t="s">
        <v>67</v>
      </c>
      <c r="AD98" s="34" t="str">
        <f t="shared" si="5"/>
        <v>0</v>
      </c>
      <c r="AE98" s="38">
        <v>0.0</v>
      </c>
      <c r="AF98" s="38">
        <v>0.0</v>
      </c>
      <c r="AG98" s="38">
        <v>0.0</v>
      </c>
      <c r="AH98" s="38">
        <v>0.0</v>
      </c>
      <c r="AI98" s="38">
        <v>0.0</v>
      </c>
      <c r="AJ98" s="34" t="str">
        <f t="shared" si="6"/>
        <v>0</v>
      </c>
      <c r="AK98" s="38">
        <v>0.0</v>
      </c>
      <c r="AL98" s="38">
        <v>0.0</v>
      </c>
      <c r="AM98" s="38">
        <v>0.0</v>
      </c>
      <c r="AN98" s="38" t="s">
        <v>67</v>
      </c>
      <c r="AO98" s="38" t="s">
        <v>67</v>
      </c>
      <c r="AP98" s="38" t="s">
        <v>67</v>
      </c>
      <c r="AQ98" s="38" t="s">
        <v>67</v>
      </c>
      <c r="AR98" s="38" t="s">
        <v>67</v>
      </c>
      <c r="AS98" s="38" t="s">
        <v>67</v>
      </c>
      <c r="AT98" s="38" t="s">
        <v>67</v>
      </c>
      <c r="AU98" s="38" t="s">
        <v>67</v>
      </c>
      <c r="AV98" s="38" t="s">
        <v>67</v>
      </c>
      <c r="AW98" s="38" t="s">
        <v>67</v>
      </c>
      <c r="AX98" s="38" t="s">
        <v>67</v>
      </c>
      <c r="AY98" s="38" t="s">
        <v>67</v>
      </c>
      <c r="AZ98" s="38" t="s">
        <v>67</v>
      </c>
      <c r="BA98" s="38" t="s">
        <v>67</v>
      </c>
      <c r="BB98" s="38" t="s">
        <v>67</v>
      </c>
      <c r="BC98" s="38" t="s">
        <v>67</v>
      </c>
      <c r="BD98" s="38" t="s">
        <v>67</v>
      </c>
      <c r="BE98" s="38" t="s">
        <v>67</v>
      </c>
      <c r="BF98" s="38" t="s">
        <v>67</v>
      </c>
      <c r="BG98" s="38" t="s">
        <v>67</v>
      </c>
      <c r="BH98" s="38" t="s">
        <v>67</v>
      </c>
      <c r="BI98" s="38" t="s">
        <v>67</v>
      </c>
      <c r="BJ98" s="38" t="s">
        <v>67</v>
      </c>
      <c r="BK98" s="38" t="s">
        <v>67</v>
      </c>
      <c r="BL98" s="38" t="s">
        <v>67</v>
      </c>
      <c r="BM98" s="38" t="s">
        <v>67</v>
      </c>
      <c r="BN98" s="34" t="str">
        <f t="shared" si="7"/>
        <v>0</v>
      </c>
    </row>
    <row r="99" ht="15.75" customHeight="1">
      <c r="A99" s="29"/>
      <c r="B99" s="65" t="s">
        <v>376</v>
      </c>
      <c r="C99" s="58" t="s">
        <v>377</v>
      </c>
      <c r="D99" s="55"/>
      <c r="E99" s="29">
        <v>3130.0</v>
      </c>
      <c r="F99" s="29" t="s">
        <v>378</v>
      </c>
      <c r="G99" s="29">
        <v>4.0</v>
      </c>
      <c r="H99" s="29" t="s">
        <v>129</v>
      </c>
      <c r="I99" s="29" t="s">
        <v>109</v>
      </c>
      <c r="J99" s="29">
        <v>1014.0</v>
      </c>
      <c r="K99" s="29">
        <v>296.0</v>
      </c>
      <c r="L99" s="42"/>
      <c r="M99" s="42"/>
      <c r="N99" s="42"/>
      <c r="O99" s="42"/>
      <c r="P99" s="33"/>
      <c r="Q99" s="33"/>
      <c r="R99" s="33"/>
      <c r="S99" s="33"/>
      <c r="T99" s="38">
        <v>0.0</v>
      </c>
      <c r="U99" s="38">
        <v>0.0</v>
      </c>
      <c r="V99" s="38">
        <v>0.0</v>
      </c>
      <c r="W99" s="38">
        <v>0.0</v>
      </c>
      <c r="X99" s="38">
        <v>0.0</v>
      </c>
      <c r="Y99" s="38">
        <v>0.0</v>
      </c>
      <c r="Z99" s="38">
        <v>0.0</v>
      </c>
      <c r="AA99" s="38" t="s">
        <v>67</v>
      </c>
      <c r="AB99" s="38" t="s">
        <v>67</v>
      </c>
      <c r="AC99" s="38" t="s">
        <v>67</v>
      </c>
      <c r="AD99" s="34" t="str">
        <f t="shared" si="5"/>
        <v>0</v>
      </c>
      <c r="AE99" s="38">
        <v>0.0</v>
      </c>
      <c r="AF99" s="38">
        <v>0.0</v>
      </c>
      <c r="AG99" s="38">
        <v>0.0</v>
      </c>
      <c r="AH99" s="38">
        <v>0.0</v>
      </c>
      <c r="AI99" s="38">
        <v>0.0</v>
      </c>
      <c r="AJ99" s="34" t="str">
        <f t="shared" si="6"/>
        <v>0</v>
      </c>
      <c r="AK99" s="38">
        <v>0.0</v>
      </c>
      <c r="AL99" s="38">
        <v>0.0</v>
      </c>
      <c r="AM99" s="38">
        <v>0.0</v>
      </c>
      <c r="AN99" s="38">
        <v>0.0</v>
      </c>
      <c r="AO99" s="38">
        <v>0.0</v>
      </c>
      <c r="AP99" s="38" t="s">
        <v>67</v>
      </c>
      <c r="AQ99" s="38" t="s">
        <v>67</v>
      </c>
      <c r="AR99" s="38" t="s">
        <v>67</v>
      </c>
      <c r="AS99" s="38" t="s">
        <v>67</v>
      </c>
      <c r="AT99" s="38" t="s">
        <v>67</v>
      </c>
      <c r="AU99" s="38" t="s">
        <v>67</v>
      </c>
      <c r="AV99" s="38" t="s">
        <v>67</v>
      </c>
      <c r="AW99" s="38" t="s">
        <v>67</v>
      </c>
      <c r="AX99" s="38" t="s">
        <v>67</v>
      </c>
      <c r="AY99" s="38" t="s">
        <v>67</v>
      </c>
      <c r="AZ99" s="38" t="s">
        <v>67</v>
      </c>
      <c r="BA99" s="38" t="s">
        <v>67</v>
      </c>
      <c r="BB99" s="38" t="s">
        <v>67</v>
      </c>
      <c r="BC99" s="38" t="s">
        <v>67</v>
      </c>
      <c r="BD99" s="38" t="s">
        <v>67</v>
      </c>
      <c r="BE99" s="38" t="s">
        <v>67</v>
      </c>
      <c r="BF99" s="38" t="s">
        <v>67</v>
      </c>
      <c r="BG99" s="38" t="s">
        <v>67</v>
      </c>
      <c r="BH99" s="38" t="s">
        <v>67</v>
      </c>
      <c r="BI99" s="38" t="s">
        <v>67</v>
      </c>
      <c r="BJ99" s="38" t="s">
        <v>67</v>
      </c>
      <c r="BK99" s="38" t="s">
        <v>67</v>
      </c>
      <c r="BL99" s="38" t="s">
        <v>67</v>
      </c>
      <c r="BM99" s="38" t="s">
        <v>67</v>
      </c>
      <c r="BN99" s="34" t="str">
        <f t="shared" si="7"/>
        <v>0</v>
      </c>
    </row>
    <row r="100" ht="15.75" customHeight="1">
      <c r="A100" s="32"/>
      <c r="B100" s="66" t="s">
        <v>379</v>
      </c>
      <c r="C100" s="52" t="s">
        <v>380</v>
      </c>
      <c r="D100" s="48"/>
      <c r="E100" s="32">
        <v>3130.0</v>
      </c>
      <c r="F100" s="38" t="s">
        <v>381</v>
      </c>
      <c r="G100" s="38">
        <v>4.8</v>
      </c>
      <c r="H100" s="32" t="s">
        <v>382</v>
      </c>
      <c r="I100" s="32" t="s">
        <v>383</v>
      </c>
      <c r="J100" s="32">
        <v>20.0</v>
      </c>
      <c r="K100" s="32">
        <v>14.0</v>
      </c>
      <c r="L100" s="32"/>
      <c r="M100" s="32"/>
      <c r="N100" s="32"/>
      <c r="O100" s="32"/>
      <c r="P100" s="33"/>
      <c r="Q100" s="33"/>
      <c r="R100" s="33"/>
      <c r="S100" s="33"/>
      <c r="T100" s="38" t="s">
        <v>67</v>
      </c>
      <c r="U100" s="38" t="s">
        <v>67</v>
      </c>
      <c r="V100" s="38" t="s">
        <v>67</v>
      </c>
      <c r="W100" s="38" t="s">
        <v>67</v>
      </c>
      <c r="X100" s="38" t="s">
        <v>67</v>
      </c>
      <c r="Y100" s="38" t="s">
        <v>67</v>
      </c>
      <c r="Z100" s="38" t="s">
        <v>67</v>
      </c>
      <c r="AA100" s="38">
        <v>0.0</v>
      </c>
      <c r="AB100" s="38" t="s">
        <v>67</v>
      </c>
      <c r="AC100" s="38" t="s">
        <v>67</v>
      </c>
      <c r="AD100" s="34" t="str">
        <f t="shared" si="5"/>
        <v>0</v>
      </c>
      <c r="AE100" s="38" t="s">
        <v>67</v>
      </c>
      <c r="AF100" s="38" t="s">
        <v>67</v>
      </c>
      <c r="AG100" s="38" t="s">
        <v>67</v>
      </c>
      <c r="AH100" s="38" t="s">
        <v>67</v>
      </c>
      <c r="AI100" s="38" t="s">
        <v>67</v>
      </c>
      <c r="AJ100" s="34" t="str">
        <f t="shared" si="6"/>
        <v>0</v>
      </c>
      <c r="AK100" s="38" t="s">
        <v>67</v>
      </c>
      <c r="AL100" s="38" t="s">
        <v>67</v>
      </c>
      <c r="AM100" s="38" t="s">
        <v>67</v>
      </c>
      <c r="AN100" s="38" t="s">
        <v>67</v>
      </c>
      <c r="AO100" s="38" t="s">
        <v>67</v>
      </c>
      <c r="AP100" s="38" t="s">
        <v>67</v>
      </c>
      <c r="AQ100" s="38">
        <v>0.0</v>
      </c>
      <c r="AR100" s="38" t="s">
        <v>67</v>
      </c>
      <c r="AS100" s="38" t="s">
        <v>67</v>
      </c>
      <c r="AT100" s="38" t="s">
        <v>67</v>
      </c>
      <c r="AU100" s="38" t="s">
        <v>67</v>
      </c>
      <c r="AV100" s="38" t="s">
        <v>67</v>
      </c>
      <c r="AW100" s="38" t="s">
        <v>67</v>
      </c>
      <c r="AX100" s="38" t="s">
        <v>67</v>
      </c>
      <c r="AY100" s="38" t="s">
        <v>67</v>
      </c>
      <c r="AZ100" s="38" t="s">
        <v>67</v>
      </c>
      <c r="BA100" s="38" t="s">
        <v>67</v>
      </c>
      <c r="BB100" s="38" t="s">
        <v>67</v>
      </c>
      <c r="BC100" s="38" t="s">
        <v>67</v>
      </c>
      <c r="BD100" s="38" t="s">
        <v>67</v>
      </c>
      <c r="BE100" s="38" t="s">
        <v>67</v>
      </c>
      <c r="BF100" s="38" t="s">
        <v>67</v>
      </c>
      <c r="BG100" s="38">
        <v>0.0</v>
      </c>
      <c r="BH100" s="38" t="s">
        <v>67</v>
      </c>
      <c r="BI100" s="38" t="s">
        <v>67</v>
      </c>
      <c r="BJ100" s="38" t="s">
        <v>67</v>
      </c>
      <c r="BK100" s="38" t="s">
        <v>67</v>
      </c>
      <c r="BL100" s="38" t="s">
        <v>67</v>
      </c>
      <c r="BM100" s="38" t="s">
        <v>67</v>
      </c>
      <c r="BN100" s="34" t="str">
        <f t="shared" si="7"/>
        <v>0</v>
      </c>
    </row>
    <row r="101" ht="24.75" customHeight="1">
      <c r="A101" s="23"/>
      <c r="B101" s="11"/>
      <c r="C101" s="23"/>
      <c r="D101" s="23"/>
      <c r="E101" s="23"/>
      <c r="F101" s="38" t="s">
        <v>384</v>
      </c>
      <c r="G101" s="38">
        <v>3.6</v>
      </c>
      <c r="H101" s="23"/>
      <c r="I101" s="23"/>
      <c r="J101" s="23"/>
      <c r="K101" s="23"/>
      <c r="L101" s="23"/>
      <c r="M101" s="23"/>
      <c r="N101" s="23"/>
      <c r="O101" s="23"/>
      <c r="P101" s="33"/>
      <c r="Q101" s="33"/>
      <c r="R101" s="33"/>
      <c r="S101" s="33"/>
      <c r="T101" s="38" t="s">
        <v>67</v>
      </c>
      <c r="U101" s="38" t="s">
        <v>67</v>
      </c>
      <c r="V101" s="38" t="s">
        <v>67</v>
      </c>
      <c r="W101" s="38" t="s">
        <v>67</v>
      </c>
      <c r="X101" s="38" t="s">
        <v>67</v>
      </c>
      <c r="Y101" s="38" t="s">
        <v>67</v>
      </c>
      <c r="Z101" s="38" t="s">
        <v>67</v>
      </c>
      <c r="AA101" s="38">
        <v>0.0</v>
      </c>
      <c r="AB101" s="38" t="s">
        <v>67</v>
      </c>
      <c r="AC101" s="38" t="s">
        <v>67</v>
      </c>
      <c r="AD101" s="34" t="str">
        <f t="shared" si="5"/>
        <v>0</v>
      </c>
      <c r="AE101" s="38" t="s">
        <v>67</v>
      </c>
      <c r="AF101" s="38" t="s">
        <v>67</v>
      </c>
      <c r="AG101" s="38" t="s">
        <v>67</v>
      </c>
      <c r="AH101" s="38" t="s">
        <v>67</v>
      </c>
      <c r="AI101" s="38" t="s">
        <v>67</v>
      </c>
      <c r="AJ101" s="34" t="str">
        <f t="shared" si="6"/>
        <v>0</v>
      </c>
      <c r="AK101" s="38" t="s">
        <v>67</v>
      </c>
      <c r="AL101" s="38" t="s">
        <v>67</v>
      </c>
      <c r="AM101" s="38" t="s">
        <v>67</v>
      </c>
      <c r="AN101" s="38" t="s">
        <v>67</v>
      </c>
      <c r="AO101" s="38" t="s">
        <v>67</v>
      </c>
      <c r="AP101" s="38" t="s">
        <v>67</v>
      </c>
      <c r="AQ101" s="38">
        <v>0.0</v>
      </c>
      <c r="AR101" s="38" t="s">
        <v>67</v>
      </c>
      <c r="AS101" s="38" t="s">
        <v>67</v>
      </c>
      <c r="AT101" s="38" t="s">
        <v>67</v>
      </c>
      <c r="AU101" s="38" t="s">
        <v>67</v>
      </c>
      <c r="AV101" s="38" t="s">
        <v>67</v>
      </c>
      <c r="AW101" s="38" t="s">
        <v>67</v>
      </c>
      <c r="AX101" s="38" t="s">
        <v>67</v>
      </c>
      <c r="AY101" s="38" t="s">
        <v>67</v>
      </c>
      <c r="AZ101" s="38" t="s">
        <v>67</v>
      </c>
      <c r="BA101" s="38" t="s">
        <v>67</v>
      </c>
      <c r="BB101" s="38" t="s">
        <v>67</v>
      </c>
      <c r="BC101" s="38" t="s">
        <v>67</v>
      </c>
      <c r="BD101" s="38" t="s">
        <v>67</v>
      </c>
      <c r="BE101" s="38" t="s">
        <v>67</v>
      </c>
      <c r="BF101" s="38" t="s">
        <v>67</v>
      </c>
      <c r="BG101" s="38">
        <v>0.0</v>
      </c>
      <c r="BH101" s="38" t="s">
        <v>67</v>
      </c>
      <c r="BI101" s="38" t="s">
        <v>67</v>
      </c>
      <c r="BJ101" s="38" t="s">
        <v>67</v>
      </c>
      <c r="BK101" s="38" t="s">
        <v>67</v>
      </c>
      <c r="BL101" s="38" t="s">
        <v>67</v>
      </c>
      <c r="BM101" s="38" t="s">
        <v>67</v>
      </c>
      <c r="BN101" s="34" t="str">
        <f t="shared" si="7"/>
        <v>0</v>
      </c>
    </row>
    <row r="102" ht="15.75" customHeight="1">
      <c r="A102" s="29"/>
      <c r="B102" s="65" t="s">
        <v>385</v>
      </c>
      <c r="C102" s="58" t="s">
        <v>386</v>
      </c>
      <c r="D102" s="55"/>
      <c r="E102" s="29">
        <v>3130.0</v>
      </c>
      <c r="F102" s="29" t="s">
        <v>387</v>
      </c>
      <c r="G102" s="29">
        <v>5.0</v>
      </c>
      <c r="H102" s="29" t="s">
        <v>159</v>
      </c>
      <c r="I102" s="29" t="s">
        <v>78</v>
      </c>
      <c r="J102" s="29">
        <v>801.0</v>
      </c>
      <c r="K102" s="29">
        <v>544.0</v>
      </c>
      <c r="L102" s="42"/>
      <c r="M102" s="42"/>
      <c r="N102" s="42"/>
      <c r="O102" s="42"/>
      <c r="P102" s="33"/>
      <c r="Q102" s="33"/>
      <c r="R102" s="33"/>
      <c r="S102" s="33"/>
      <c r="T102" s="38">
        <v>0.0</v>
      </c>
      <c r="U102" s="38">
        <v>0.0</v>
      </c>
      <c r="V102" s="38">
        <v>0.0</v>
      </c>
      <c r="W102" s="38">
        <v>0.0</v>
      </c>
      <c r="X102" s="38">
        <v>0.0</v>
      </c>
      <c r="Y102" s="38">
        <v>0.0</v>
      </c>
      <c r="Z102" s="38" t="s">
        <v>67</v>
      </c>
      <c r="AA102" s="38" t="s">
        <v>67</v>
      </c>
      <c r="AB102" s="38" t="s">
        <v>67</v>
      </c>
      <c r="AC102" s="38" t="s">
        <v>67</v>
      </c>
      <c r="AD102" s="34" t="str">
        <f t="shared" si="5"/>
        <v>0</v>
      </c>
      <c r="AE102" s="38">
        <v>0.0</v>
      </c>
      <c r="AF102" s="38">
        <v>0.0</v>
      </c>
      <c r="AG102" s="38">
        <v>0.0</v>
      </c>
      <c r="AH102" s="38">
        <v>0.0</v>
      </c>
      <c r="AI102" s="38">
        <v>0.0</v>
      </c>
      <c r="AJ102" s="34" t="str">
        <f t="shared" si="6"/>
        <v>0</v>
      </c>
      <c r="AK102" s="38">
        <v>0.0</v>
      </c>
      <c r="AL102" s="38">
        <v>0.0</v>
      </c>
      <c r="AM102" s="38">
        <v>0.0</v>
      </c>
      <c r="AN102" s="38">
        <v>0.0</v>
      </c>
      <c r="AO102" s="38">
        <v>0.0</v>
      </c>
      <c r="AP102" s="38" t="s">
        <v>67</v>
      </c>
      <c r="AQ102" s="38" t="s">
        <v>67</v>
      </c>
      <c r="AR102" s="38" t="s">
        <v>67</v>
      </c>
      <c r="AS102" s="38" t="s">
        <v>67</v>
      </c>
      <c r="AT102" s="38" t="s">
        <v>67</v>
      </c>
      <c r="AU102" s="38" t="s">
        <v>67</v>
      </c>
      <c r="AV102" s="38" t="s">
        <v>67</v>
      </c>
      <c r="AW102" s="38" t="s">
        <v>67</v>
      </c>
      <c r="AX102" s="38" t="s">
        <v>67</v>
      </c>
      <c r="AY102" s="38" t="s">
        <v>67</v>
      </c>
      <c r="AZ102" s="38" t="s">
        <v>67</v>
      </c>
      <c r="BA102" s="38" t="s">
        <v>67</v>
      </c>
      <c r="BB102" s="38" t="s">
        <v>67</v>
      </c>
      <c r="BC102" s="38" t="s">
        <v>67</v>
      </c>
      <c r="BD102" s="38" t="s">
        <v>67</v>
      </c>
      <c r="BE102" s="38" t="s">
        <v>67</v>
      </c>
      <c r="BF102" s="38" t="s">
        <v>67</v>
      </c>
      <c r="BG102" s="38" t="s">
        <v>67</v>
      </c>
      <c r="BH102" s="38" t="s">
        <v>67</v>
      </c>
      <c r="BI102" s="38" t="s">
        <v>67</v>
      </c>
      <c r="BJ102" s="38" t="s">
        <v>67</v>
      </c>
      <c r="BK102" s="38" t="s">
        <v>67</v>
      </c>
      <c r="BL102" s="38" t="s">
        <v>67</v>
      </c>
      <c r="BM102" s="38" t="s">
        <v>67</v>
      </c>
      <c r="BN102" s="34" t="str">
        <f t="shared" si="7"/>
        <v>0</v>
      </c>
    </row>
    <row r="103" ht="15.75" customHeight="1">
      <c r="A103" s="32"/>
      <c r="B103" s="66" t="s">
        <v>388</v>
      </c>
      <c r="C103" s="52" t="s">
        <v>389</v>
      </c>
      <c r="D103" s="48"/>
      <c r="E103" s="32">
        <v>3130.0</v>
      </c>
      <c r="F103" s="38" t="s">
        <v>390</v>
      </c>
      <c r="G103" s="32">
        <v>3.0</v>
      </c>
      <c r="H103" s="32" t="s">
        <v>231</v>
      </c>
      <c r="I103" s="32" t="s">
        <v>87</v>
      </c>
      <c r="J103" s="32">
        <v>1492.0</v>
      </c>
      <c r="K103" s="32">
        <v>326.0</v>
      </c>
      <c r="L103" s="32"/>
      <c r="M103" s="32"/>
      <c r="N103" s="32"/>
      <c r="O103" s="32"/>
      <c r="P103" s="33"/>
      <c r="Q103" s="33"/>
      <c r="R103" s="33"/>
      <c r="S103" s="33"/>
      <c r="T103" s="38">
        <v>0.0</v>
      </c>
      <c r="U103" s="38">
        <v>0.0</v>
      </c>
      <c r="V103" s="38">
        <v>0.0</v>
      </c>
      <c r="W103" s="38">
        <v>0.0</v>
      </c>
      <c r="X103" s="38">
        <v>0.0</v>
      </c>
      <c r="Y103" s="38">
        <v>0.0</v>
      </c>
      <c r="Z103" s="38">
        <v>0.0</v>
      </c>
      <c r="AA103" s="38" t="s">
        <v>67</v>
      </c>
      <c r="AB103" s="38" t="s">
        <v>67</v>
      </c>
      <c r="AC103" s="38" t="s">
        <v>67</v>
      </c>
      <c r="AD103" s="34" t="str">
        <f t="shared" si="5"/>
        <v>0</v>
      </c>
      <c r="AE103" s="38">
        <v>0.0</v>
      </c>
      <c r="AF103" s="38">
        <v>0.0</v>
      </c>
      <c r="AG103" s="38">
        <v>0.0</v>
      </c>
      <c r="AH103" s="38">
        <v>0.0</v>
      </c>
      <c r="AI103" s="38">
        <v>0.0</v>
      </c>
      <c r="AJ103" s="34" t="str">
        <f t="shared" si="6"/>
        <v>0</v>
      </c>
      <c r="AK103" s="38">
        <v>0.0</v>
      </c>
      <c r="AL103" s="38">
        <v>0.0</v>
      </c>
      <c r="AM103" s="38">
        <v>0.0</v>
      </c>
      <c r="AN103" s="38">
        <v>0.0</v>
      </c>
      <c r="AO103" s="38">
        <v>0.0</v>
      </c>
      <c r="AP103" s="38" t="s">
        <v>67</v>
      </c>
      <c r="AQ103" s="38" t="s">
        <v>67</v>
      </c>
      <c r="AR103" s="38" t="s">
        <v>67</v>
      </c>
      <c r="AS103" s="38">
        <v>0.0</v>
      </c>
      <c r="AT103" s="38" t="s">
        <v>67</v>
      </c>
      <c r="AU103" s="38" t="s">
        <v>67</v>
      </c>
      <c r="AV103" s="38" t="s">
        <v>67</v>
      </c>
      <c r="AW103" s="38" t="s">
        <v>67</v>
      </c>
      <c r="AX103" s="38" t="s">
        <v>67</v>
      </c>
      <c r="AY103" s="38" t="s">
        <v>67</v>
      </c>
      <c r="AZ103" s="38" t="s">
        <v>67</v>
      </c>
      <c r="BA103" s="38" t="s">
        <v>67</v>
      </c>
      <c r="BB103" s="38" t="s">
        <v>67</v>
      </c>
      <c r="BC103" s="38" t="s">
        <v>67</v>
      </c>
      <c r="BD103" s="38" t="s">
        <v>67</v>
      </c>
      <c r="BE103" s="38" t="s">
        <v>67</v>
      </c>
      <c r="BF103" s="38">
        <v>0.0</v>
      </c>
      <c r="BG103" s="38">
        <v>0.0</v>
      </c>
      <c r="BH103" s="38" t="s">
        <v>67</v>
      </c>
      <c r="BI103" s="38" t="s">
        <v>67</v>
      </c>
      <c r="BJ103" s="38" t="s">
        <v>67</v>
      </c>
      <c r="BK103" s="38" t="s">
        <v>67</v>
      </c>
      <c r="BL103" s="38" t="s">
        <v>67</v>
      </c>
      <c r="BM103" s="38" t="s">
        <v>67</v>
      </c>
      <c r="BN103" s="34" t="str">
        <f t="shared" si="7"/>
        <v>0</v>
      </c>
    </row>
    <row r="104" ht="15.75" customHeight="1">
      <c r="A104" s="23"/>
      <c r="B104" s="11"/>
      <c r="C104" s="23"/>
      <c r="D104" s="23"/>
      <c r="E104" s="23"/>
      <c r="F104" s="38" t="s">
        <v>391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33"/>
      <c r="Q104" s="33"/>
      <c r="R104" s="33"/>
      <c r="S104" s="33"/>
      <c r="T104" s="38">
        <v>0.0</v>
      </c>
      <c r="U104" s="38">
        <v>0.0</v>
      </c>
      <c r="V104" s="38">
        <v>0.0</v>
      </c>
      <c r="W104" s="38">
        <v>0.0</v>
      </c>
      <c r="X104" s="38">
        <v>0.0</v>
      </c>
      <c r="Y104" s="38">
        <v>0.0</v>
      </c>
      <c r="Z104" s="38">
        <v>0.0</v>
      </c>
      <c r="AA104" s="38" t="s">
        <v>67</v>
      </c>
      <c r="AB104" s="38" t="s">
        <v>67</v>
      </c>
      <c r="AC104" s="38" t="s">
        <v>67</v>
      </c>
      <c r="AD104" s="34" t="str">
        <f t="shared" si="5"/>
        <v>0</v>
      </c>
      <c r="AE104" s="38">
        <v>0.0</v>
      </c>
      <c r="AF104" s="38">
        <v>0.0</v>
      </c>
      <c r="AG104" s="38">
        <v>0.0</v>
      </c>
      <c r="AH104" s="38">
        <v>0.0</v>
      </c>
      <c r="AI104" s="38">
        <v>0.0</v>
      </c>
      <c r="AJ104" s="34" t="str">
        <f t="shared" si="6"/>
        <v>0</v>
      </c>
      <c r="AK104" s="38">
        <v>0.0</v>
      </c>
      <c r="AL104" s="38">
        <v>0.0</v>
      </c>
      <c r="AM104" s="38">
        <v>0.0</v>
      </c>
      <c r="AN104" s="38">
        <v>0.0</v>
      </c>
      <c r="AO104" s="38">
        <v>0.0</v>
      </c>
      <c r="AP104" s="38" t="s">
        <v>67</v>
      </c>
      <c r="AQ104" s="38" t="s">
        <v>67</v>
      </c>
      <c r="AR104" s="38" t="s">
        <v>67</v>
      </c>
      <c r="AS104" s="38">
        <v>0.0</v>
      </c>
      <c r="AT104" s="38" t="s">
        <v>67</v>
      </c>
      <c r="AU104" s="38" t="s">
        <v>67</v>
      </c>
      <c r="AV104" s="38" t="s">
        <v>67</v>
      </c>
      <c r="AW104" s="38" t="s">
        <v>67</v>
      </c>
      <c r="AX104" s="38" t="s">
        <v>67</v>
      </c>
      <c r="AY104" s="38" t="s">
        <v>67</v>
      </c>
      <c r="AZ104" s="38" t="s">
        <v>67</v>
      </c>
      <c r="BA104" s="38" t="s">
        <v>67</v>
      </c>
      <c r="BB104" s="38" t="s">
        <v>67</v>
      </c>
      <c r="BC104" s="38" t="s">
        <v>67</v>
      </c>
      <c r="BD104" s="38" t="s">
        <v>67</v>
      </c>
      <c r="BE104" s="38" t="s">
        <v>67</v>
      </c>
      <c r="BF104" s="38">
        <v>0.0</v>
      </c>
      <c r="BG104" s="38">
        <v>0.0</v>
      </c>
      <c r="BH104" s="38" t="s">
        <v>67</v>
      </c>
      <c r="BI104" s="38" t="s">
        <v>67</v>
      </c>
      <c r="BJ104" s="38" t="s">
        <v>67</v>
      </c>
      <c r="BK104" s="38" t="s">
        <v>67</v>
      </c>
      <c r="BL104" s="38" t="s">
        <v>67</v>
      </c>
      <c r="BM104" s="38" t="s">
        <v>67</v>
      </c>
      <c r="BN104" s="34" t="str">
        <f t="shared" si="7"/>
        <v>0</v>
      </c>
    </row>
    <row r="105" ht="15.75" customHeight="1">
      <c r="A105" s="29"/>
      <c r="B105" s="65" t="s">
        <v>392</v>
      </c>
      <c r="C105" s="58" t="s">
        <v>393</v>
      </c>
      <c r="D105" s="55"/>
      <c r="E105" s="29">
        <v>3130.0</v>
      </c>
      <c r="F105" s="29" t="s">
        <v>394</v>
      </c>
      <c r="G105" s="29"/>
      <c r="H105" s="29" t="s">
        <v>231</v>
      </c>
      <c r="I105" s="29" t="s">
        <v>109</v>
      </c>
      <c r="J105" s="29">
        <v>1433.0</v>
      </c>
      <c r="K105" s="29"/>
      <c r="L105" s="42"/>
      <c r="M105" s="42"/>
      <c r="N105" s="42"/>
      <c r="O105" s="42"/>
      <c r="P105" s="33"/>
      <c r="Q105" s="33"/>
      <c r="R105" s="33"/>
      <c r="S105" s="33"/>
      <c r="T105" s="38">
        <v>0.0</v>
      </c>
      <c r="U105" s="38">
        <v>0.0</v>
      </c>
      <c r="V105" s="38">
        <v>0.0</v>
      </c>
      <c r="W105" s="38">
        <v>0.0</v>
      </c>
      <c r="X105" s="38">
        <v>0.0</v>
      </c>
      <c r="Y105" s="38">
        <v>0.0</v>
      </c>
      <c r="Z105" s="38">
        <v>0.0</v>
      </c>
      <c r="AA105" s="38" t="s">
        <v>67</v>
      </c>
      <c r="AB105" s="38" t="s">
        <v>67</v>
      </c>
      <c r="AC105" s="38" t="s">
        <v>67</v>
      </c>
      <c r="AD105" s="34" t="str">
        <f t="shared" si="5"/>
        <v>0</v>
      </c>
      <c r="AE105" s="38">
        <v>0.0</v>
      </c>
      <c r="AF105" s="38">
        <v>0.0</v>
      </c>
      <c r="AG105" s="38">
        <v>0.0</v>
      </c>
      <c r="AH105" s="38">
        <v>0.0</v>
      </c>
      <c r="AI105" s="38">
        <v>0.0</v>
      </c>
      <c r="AJ105" s="34" t="str">
        <f t="shared" si="6"/>
        <v>0</v>
      </c>
      <c r="AK105" s="38">
        <v>0.0</v>
      </c>
      <c r="AL105" s="38">
        <v>0.0</v>
      </c>
      <c r="AM105" s="38">
        <v>0.0</v>
      </c>
      <c r="AN105" s="38">
        <v>0.0</v>
      </c>
      <c r="AO105" s="38">
        <v>0.0</v>
      </c>
      <c r="AP105" s="38" t="s">
        <v>67</v>
      </c>
      <c r="AQ105" s="38" t="s">
        <v>67</v>
      </c>
      <c r="AR105" s="38" t="s">
        <v>67</v>
      </c>
      <c r="AS105" s="38">
        <v>0.0</v>
      </c>
      <c r="AT105" s="38" t="s">
        <v>67</v>
      </c>
      <c r="AU105" s="38" t="s">
        <v>67</v>
      </c>
      <c r="AV105" s="38" t="s">
        <v>67</v>
      </c>
      <c r="AW105" s="38" t="s">
        <v>67</v>
      </c>
      <c r="AX105" s="38" t="s">
        <v>67</v>
      </c>
      <c r="AY105" s="38" t="s">
        <v>67</v>
      </c>
      <c r="AZ105" s="38" t="s">
        <v>67</v>
      </c>
      <c r="BA105" s="38" t="s">
        <v>67</v>
      </c>
      <c r="BB105" s="38" t="s">
        <v>67</v>
      </c>
      <c r="BC105" s="38" t="s">
        <v>67</v>
      </c>
      <c r="BD105" s="38" t="s">
        <v>67</v>
      </c>
      <c r="BE105" s="38" t="s">
        <v>67</v>
      </c>
      <c r="BF105" s="38">
        <v>0.0</v>
      </c>
      <c r="BG105" s="38">
        <v>0.0</v>
      </c>
      <c r="BH105" s="38" t="s">
        <v>67</v>
      </c>
      <c r="BI105" s="38" t="s">
        <v>67</v>
      </c>
      <c r="BJ105" s="38" t="s">
        <v>67</v>
      </c>
      <c r="BK105" s="38" t="s">
        <v>67</v>
      </c>
      <c r="BL105" s="38" t="s">
        <v>67</v>
      </c>
      <c r="BM105" s="38" t="s">
        <v>67</v>
      </c>
      <c r="BN105" s="34" t="str">
        <f t="shared" si="7"/>
        <v>0</v>
      </c>
    </row>
    <row r="106" ht="15.75" customHeight="1">
      <c r="A106" s="29"/>
      <c r="B106" s="65" t="s">
        <v>395</v>
      </c>
      <c r="C106" s="58"/>
      <c r="D106" s="55"/>
      <c r="E106" s="29">
        <v>3130.0</v>
      </c>
      <c r="F106" s="29" t="s">
        <v>396</v>
      </c>
      <c r="G106" s="29" t="s">
        <v>250</v>
      </c>
      <c r="H106" s="29" t="s">
        <v>397</v>
      </c>
      <c r="I106" s="29" t="s">
        <v>78</v>
      </c>
      <c r="J106" s="29">
        <v>280.0</v>
      </c>
      <c r="K106" s="29"/>
      <c r="L106" s="42"/>
      <c r="M106" s="42"/>
      <c r="N106" s="42"/>
      <c r="O106" s="42"/>
      <c r="P106" s="33"/>
      <c r="Q106" s="33"/>
      <c r="R106" s="33"/>
      <c r="S106" s="33"/>
      <c r="T106" s="38" t="s">
        <v>67</v>
      </c>
      <c r="U106" s="38" t="s">
        <v>67</v>
      </c>
      <c r="V106" s="38" t="s">
        <v>67</v>
      </c>
      <c r="W106" s="38" t="s">
        <v>67</v>
      </c>
      <c r="X106" s="38" t="s">
        <v>67</v>
      </c>
      <c r="Y106" s="38" t="s">
        <v>67</v>
      </c>
      <c r="Z106" s="38" t="s">
        <v>67</v>
      </c>
      <c r="AA106" s="38" t="s">
        <v>67</v>
      </c>
      <c r="AB106" s="38" t="s">
        <v>67</v>
      </c>
      <c r="AC106" s="38" t="s">
        <v>67</v>
      </c>
      <c r="AD106" s="34" t="str">
        <f t="shared" si="5"/>
        <v>0</v>
      </c>
      <c r="AE106" s="38" t="s">
        <v>67</v>
      </c>
      <c r="AF106" s="38" t="s">
        <v>67</v>
      </c>
      <c r="AG106" s="38" t="s">
        <v>67</v>
      </c>
      <c r="AH106" s="38" t="s">
        <v>67</v>
      </c>
      <c r="AI106" s="38" t="s">
        <v>67</v>
      </c>
      <c r="AJ106" s="34" t="str">
        <f t="shared" si="6"/>
        <v>0</v>
      </c>
      <c r="AK106" s="38" t="s">
        <v>67</v>
      </c>
      <c r="AL106" s="38" t="s">
        <v>67</v>
      </c>
      <c r="AM106" s="38" t="s">
        <v>67</v>
      </c>
      <c r="AN106" s="38" t="s">
        <v>67</v>
      </c>
      <c r="AO106" s="38" t="s">
        <v>67</v>
      </c>
      <c r="AP106" s="38" t="s">
        <v>67</v>
      </c>
      <c r="AQ106" s="38" t="s">
        <v>67</v>
      </c>
      <c r="AR106" s="38" t="s">
        <v>67</v>
      </c>
      <c r="AS106" s="38">
        <v>0.0</v>
      </c>
      <c r="AT106" s="38" t="s">
        <v>67</v>
      </c>
      <c r="AU106" s="38" t="s">
        <v>67</v>
      </c>
      <c r="AV106" s="38" t="s">
        <v>67</v>
      </c>
      <c r="AW106" s="38" t="s">
        <v>67</v>
      </c>
      <c r="AX106" s="38" t="s">
        <v>67</v>
      </c>
      <c r="AY106" s="38" t="s">
        <v>67</v>
      </c>
      <c r="AZ106" s="38" t="s">
        <v>67</v>
      </c>
      <c r="BA106" s="38" t="s">
        <v>67</v>
      </c>
      <c r="BB106" s="38" t="s">
        <v>67</v>
      </c>
      <c r="BC106" s="38" t="s">
        <v>67</v>
      </c>
      <c r="BD106" s="38" t="s">
        <v>67</v>
      </c>
      <c r="BE106" s="38" t="s">
        <v>67</v>
      </c>
      <c r="BF106" s="38" t="s">
        <v>67</v>
      </c>
      <c r="BG106" s="38" t="s">
        <v>67</v>
      </c>
      <c r="BH106" s="38" t="s">
        <v>67</v>
      </c>
      <c r="BI106" s="38" t="s">
        <v>67</v>
      </c>
      <c r="BJ106" s="38" t="s">
        <v>67</v>
      </c>
      <c r="BK106" s="38" t="s">
        <v>67</v>
      </c>
      <c r="BL106" s="38" t="s">
        <v>67</v>
      </c>
      <c r="BM106" s="38" t="s">
        <v>67</v>
      </c>
      <c r="BN106" s="34" t="str">
        <f t="shared" si="7"/>
        <v>0</v>
      </c>
    </row>
    <row r="107" ht="15.75" customHeight="1">
      <c r="A107" s="38"/>
      <c r="B107" s="38"/>
      <c r="C107" s="58"/>
      <c r="D107" s="53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3"/>
      <c r="Q107" s="33"/>
      <c r="R107" s="33"/>
      <c r="S107" s="33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4"/>
      <c r="AE107" s="38"/>
      <c r="AF107" s="38"/>
      <c r="AG107" s="38"/>
      <c r="AH107" s="38"/>
      <c r="AI107" s="38"/>
      <c r="AJ107" s="34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4"/>
    </row>
    <row r="108" ht="15.75" customHeight="1">
      <c r="A108" s="38"/>
      <c r="B108" s="38"/>
      <c r="C108" s="58"/>
      <c r="D108" s="53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3"/>
      <c r="Q108" s="33"/>
      <c r="R108" s="33"/>
      <c r="S108" s="33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4"/>
      <c r="AE108" s="38"/>
      <c r="AF108" s="38"/>
      <c r="AG108" s="38"/>
      <c r="AH108" s="38"/>
      <c r="AI108" s="38"/>
      <c r="AJ108" s="34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4"/>
    </row>
    <row r="109" ht="15.75" customHeight="1">
      <c r="A109" s="38"/>
      <c r="B109" s="38"/>
      <c r="C109" s="58"/>
      <c r="D109" s="53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3"/>
      <c r="Q109" s="33"/>
      <c r="R109" s="33"/>
      <c r="S109" s="33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4"/>
      <c r="AE109" s="38"/>
      <c r="AF109" s="38"/>
      <c r="AG109" s="38"/>
      <c r="AH109" s="38"/>
      <c r="AI109" s="38"/>
      <c r="AJ109" s="34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4"/>
    </row>
    <row r="110" ht="15.75" customHeight="1">
      <c r="A110" s="38"/>
      <c r="B110" s="38"/>
      <c r="C110" s="58"/>
      <c r="D110" s="53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3"/>
      <c r="Q110" s="33"/>
      <c r="R110" s="33"/>
      <c r="S110" s="33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4"/>
      <c r="AE110" s="38"/>
      <c r="AF110" s="38"/>
      <c r="AG110" s="38"/>
      <c r="AH110" s="38"/>
      <c r="AI110" s="38"/>
      <c r="AJ110" s="34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4"/>
    </row>
    <row r="111" ht="15.75" customHeight="1">
      <c r="A111" s="38"/>
      <c r="B111" s="38"/>
      <c r="C111" s="58"/>
      <c r="D111" s="53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3"/>
      <c r="Q111" s="33"/>
      <c r="R111" s="33"/>
      <c r="S111" s="33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4"/>
      <c r="AE111" s="38"/>
      <c r="AF111" s="38"/>
      <c r="AG111" s="38"/>
      <c r="AH111" s="38"/>
      <c r="AI111" s="38"/>
      <c r="AJ111" s="34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4"/>
    </row>
    <row r="112" ht="15.75" customHeight="1">
      <c r="A112" s="38"/>
      <c r="B112" s="38"/>
      <c r="C112" s="58"/>
      <c r="D112" s="53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3"/>
      <c r="Q112" s="33"/>
      <c r="R112" s="33"/>
      <c r="S112" s="33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4"/>
      <c r="AE112" s="38"/>
      <c r="AF112" s="38"/>
      <c r="AG112" s="38"/>
      <c r="AH112" s="38"/>
      <c r="AI112" s="38"/>
      <c r="AJ112" s="34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4"/>
    </row>
    <row r="113" ht="15.75" customHeight="1">
      <c r="A113" s="38"/>
      <c r="B113" s="38"/>
      <c r="C113" s="58"/>
      <c r="D113" s="53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3"/>
      <c r="Q113" s="33"/>
      <c r="R113" s="33"/>
      <c r="S113" s="33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4"/>
      <c r="AE113" s="38"/>
      <c r="AF113" s="38"/>
      <c r="AG113" s="38"/>
      <c r="AH113" s="38"/>
      <c r="AI113" s="38"/>
      <c r="AJ113" s="34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4"/>
    </row>
    <row r="114" ht="15.75" customHeight="1">
      <c r="A114" s="38"/>
      <c r="B114" s="38"/>
      <c r="C114" s="58"/>
      <c r="D114" s="53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3"/>
      <c r="Q114" s="33"/>
      <c r="R114" s="33"/>
      <c r="S114" s="33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4"/>
      <c r="AE114" s="38"/>
      <c r="AF114" s="38"/>
      <c r="AG114" s="38"/>
      <c r="AH114" s="38"/>
      <c r="AI114" s="38"/>
      <c r="AJ114" s="34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4"/>
    </row>
    <row r="115" ht="15.75" customHeight="1">
      <c r="A115" s="38"/>
      <c r="B115" s="38"/>
      <c r="C115" s="58"/>
      <c r="D115" s="53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3"/>
      <c r="Q115" s="33"/>
      <c r="R115" s="33"/>
      <c r="S115" s="33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4"/>
      <c r="AE115" s="38"/>
      <c r="AF115" s="38"/>
      <c r="AG115" s="38"/>
      <c r="AH115" s="38"/>
      <c r="AI115" s="38"/>
      <c r="AJ115" s="34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4"/>
    </row>
    <row r="116" ht="15.75" customHeight="1">
      <c r="A116" s="38"/>
      <c r="B116" s="38"/>
      <c r="C116" s="58"/>
      <c r="D116" s="53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3"/>
      <c r="Q116" s="33"/>
      <c r="R116" s="33"/>
      <c r="S116" s="33"/>
      <c r="T116" s="38" t="s">
        <v>67</v>
      </c>
      <c r="U116" s="38" t="s">
        <v>67</v>
      </c>
      <c r="V116" s="38" t="s">
        <v>67</v>
      </c>
      <c r="W116" s="38" t="s">
        <v>67</v>
      </c>
      <c r="X116" s="38" t="s">
        <v>67</v>
      </c>
      <c r="Y116" s="38" t="s">
        <v>67</v>
      </c>
      <c r="Z116" s="38" t="s">
        <v>67</v>
      </c>
      <c r="AA116" s="38" t="s">
        <v>67</v>
      </c>
      <c r="AB116" s="38" t="s">
        <v>67</v>
      </c>
      <c r="AC116" s="38" t="s">
        <v>67</v>
      </c>
      <c r="AD116" s="34" t="str">
        <f t="shared" ref="AD116:AD121" si="19">sum(T116:AC116)</f>
        <v>0</v>
      </c>
      <c r="AE116" s="38" t="s">
        <v>67</v>
      </c>
      <c r="AF116" s="38" t="s">
        <v>67</v>
      </c>
      <c r="AG116" s="38" t="s">
        <v>67</v>
      </c>
      <c r="AH116" s="38" t="s">
        <v>67</v>
      </c>
      <c r="AI116" s="38" t="s">
        <v>67</v>
      </c>
      <c r="AJ116" s="34" t="str">
        <f t="shared" ref="AJ116:AJ121" si="21">sum(AE116:AI116)</f>
        <v>0</v>
      </c>
      <c r="AK116" s="38" t="s">
        <v>67</v>
      </c>
      <c r="AL116" s="38" t="s">
        <v>67</v>
      </c>
      <c r="AM116" s="38" t="s">
        <v>67</v>
      </c>
      <c r="AN116" s="38" t="s">
        <v>67</v>
      </c>
      <c r="AO116" s="38" t="s">
        <v>67</v>
      </c>
      <c r="AP116" s="38" t="s">
        <v>67</v>
      </c>
      <c r="AQ116" s="38" t="s">
        <v>67</v>
      </c>
      <c r="AR116" s="38" t="s">
        <v>67</v>
      </c>
      <c r="AS116" s="38" t="s">
        <v>67</v>
      </c>
      <c r="AT116" s="38" t="s">
        <v>67</v>
      </c>
      <c r="AU116" s="38" t="s">
        <v>67</v>
      </c>
      <c r="AV116" s="38" t="s">
        <v>67</v>
      </c>
      <c r="AW116" s="38" t="s">
        <v>67</v>
      </c>
      <c r="AX116" s="38" t="s">
        <v>67</v>
      </c>
      <c r="AY116" s="38" t="s">
        <v>67</v>
      </c>
      <c r="AZ116" s="38" t="s">
        <v>67</v>
      </c>
      <c r="BA116" s="38" t="s">
        <v>67</v>
      </c>
      <c r="BB116" s="38" t="s">
        <v>67</v>
      </c>
      <c r="BC116" s="38" t="s">
        <v>67</v>
      </c>
      <c r="BD116" s="38" t="s">
        <v>67</v>
      </c>
      <c r="BE116" s="38" t="s">
        <v>67</v>
      </c>
      <c r="BF116" s="38" t="s">
        <v>67</v>
      </c>
      <c r="BG116" s="38" t="s">
        <v>67</v>
      </c>
      <c r="BH116" s="38" t="s">
        <v>67</v>
      </c>
      <c r="BI116" s="38" t="s">
        <v>67</v>
      </c>
      <c r="BJ116" s="38" t="s">
        <v>67</v>
      </c>
      <c r="BK116" s="38" t="s">
        <v>67</v>
      </c>
      <c r="BL116" s="38" t="s">
        <v>67</v>
      </c>
      <c r="BM116" s="38" t="s">
        <v>67</v>
      </c>
      <c r="BN116" s="34" t="str">
        <f t="shared" ref="BN116:BN121" si="23">sum(AK116:BM116)</f>
        <v>0</v>
      </c>
    </row>
    <row r="117" ht="15.75" customHeight="1">
      <c r="A117" s="38" t="s">
        <v>398</v>
      </c>
      <c r="B117" s="67" t="s">
        <v>399</v>
      </c>
      <c r="C117" s="38"/>
      <c r="D117" s="53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68" t="str">
        <f t="shared" ref="P117:P121" si="24">sum(Q117:S117)</f>
        <v>121</v>
      </c>
      <c r="Q117" s="69" t="str">
        <f t="shared" ref="Q117:Q120" si="25">AD117</f>
        <v>63</v>
      </c>
      <c r="R117" s="69" t="str">
        <f t="shared" ref="R117:R120" si="26">AJ117</f>
        <v>27</v>
      </c>
      <c r="S117" s="69" t="str">
        <f t="shared" ref="S117:S120" si="27">BN117</f>
        <v>31</v>
      </c>
      <c r="T117" s="38" t="str">
        <f t="shared" ref="T117:AC117" si="18">sum(T6:T93)</f>
        <v>33</v>
      </c>
      <c r="U117" s="38" t="str">
        <f t="shared" si="18"/>
        <v>4</v>
      </c>
      <c r="V117" s="38" t="str">
        <f t="shared" si="18"/>
        <v>3</v>
      </c>
      <c r="W117" s="38" t="str">
        <f t="shared" si="18"/>
        <v>8</v>
      </c>
      <c r="X117" s="38" t="str">
        <f t="shared" si="18"/>
        <v>6</v>
      </c>
      <c r="Y117" s="38" t="str">
        <f t="shared" si="18"/>
        <v>6</v>
      </c>
      <c r="Z117" s="38" t="str">
        <f t="shared" si="18"/>
        <v>1</v>
      </c>
      <c r="AA117" s="38" t="str">
        <f t="shared" si="18"/>
        <v>0</v>
      </c>
      <c r="AB117" s="38" t="str">
        <f t="shared" si="18"/>
        <v>1</v>
      </c>
      <c r="AC117" s="38" t="str">
        <f t="shared" si="18"/>
        <v>1</v>
      </c>
      <c r="AD117" s="34" t="str">
        <f t="shared" si="19"/>
        <v>63</v>
      </c>
      <c r="AE117" s="38" t="str">
        <f t="shared" ref="AE117:AI117" si="20">sum(AE6:AE93)</f>
        <v>16</v>
      </c>
      <c r="AF117" s="38" t="str">
        <f t="shared" si="20"/>
        <v>4</v>
      </c>
      <c r="AG117" s="38" t="str">
        <f t="shared" si="20"/>
        <v>1</v>
      </c>
      <c r="AH117" s="38" t="str">
        <f t="shared" si="20"/>
        <v>5</v>
      </c>
      <c r="AI117" s="38" t="str">
        <f t="shared" si="20"/>
        <v>1</v>
      </c>
      <c r="AJ117" s="34" t="str">
        <f t="shared" si="21"/>
        <v>27</v>
      </c>
      <c r="AK117" s="38" t="str">
        <f t="shared" ref="AK117:BM117" si="22">sum(AK6:AK93)</f>
        <v>18</v>
      </c>
      <c r="AL117" s="38" t="str">
        <f t="shared" si="22"/>
        <v>2</v>
      </c>
      <c r="AM117" s="38" t="str">
        <f t="shared" si="22"/>
        <v>6</v>
      </c>
      <c r="AN117" s="38" t="str">
        <f t="shared" si="22"/>
        <v>1</v>
      </c>
      <c r="AO117" s="38" t="str">
        <f t="shared" si="22"/>
        <v>0</v>
      </c>
      <c r="AP117" s="38" t="str">
        <f t="shared" si="22"/>
        <v>0</v>
      </c>
      <c r="AQ117" s="38" t="str">
        <f t="shared" si="22"/>
        <v>1</v>
      </c>
      <c r="AR117" s="38" t="str">
        <f t="shared" si="22"/>
        <v>0</v>
      </c>
      <c r="AS117" s="38" t="str">
        <f t="shared" si="22"/>
        <v>0</v>
      </c>
      <c r="AT117" s="38" t="str">
        <f t="shared" si="22"/>
        <v>0</v>
      </c>
      <c r="AU117" s="38" t="str">
        <f t="shared" si="22"/>
        <v>0</v>
      </c>
      <c r="AV117" s="38" t="str">
        <f t="shared" si="22"/>
        <v>0</v>
      </c>
      <c r="AW117" s="38" t="str">
        <f t="shared" si="22"/>
        <v>0</v>
      </c>
      <c r="AX117" s="38" t="str">
        <f t="shared" si="22"/>
        <v>0</v>
      </c>
      <c r="AY117" s="38" t="str">
        <f t="shared" si="22"/>
        <v>0</v>
      </c>
      <c r="AZ117" s="38" t="str">
        <f t="shared" si="22"/>
        <v>0</v>
      </c>
      <c r="BA117" s="38" t="str">
        <f t="shared" si="22"/>
        <v>0</v>
      </c>
      <c r="BB117" s="38" t="str">
        <f t="shared" si="22"/>
        <v>0</v>
      </c>
      <c r="BC117" s="38" t="str">
        <f t="shared" si="22"/>
        <v>0</v>
      </c>
      <c r="BD117" s="38" t="str">
        <f t="shared" si="22"/>
        <v>0</v>
      </c>
      <c r="BE117" s="38" t="str">
        <f t="shared" si="22"/>
        <v>0</v>
      </c>
      <c r="BF117" s="38" t="str">
        <f t="shared" si="22"/>
        <v>3</v>
      </c>
      <c r="BG117" s="38" t="str">
        <f t="shared" si="22"/>
        <v>0</v>
      </c>
      <c r="BH117" s="38" t="str">
        <f t="shared" si="22"/>
        <v>0</v>
      </c>
      <c r="BI117" s="38" t="str">
        <f t="shared" si="22"/>
        <v>0</v>
      </c>
      <c r="BJ117" s="38" t="str">
        <f t="shared" si="22"/>
        <v>0</v>
      </c>
      <c r="BK117" s="38" t="str">
        <f t="shared" si="22"/>
        <v>0</v>
      </c>
      <c r="BL117" s="38" t="str">
        <f t="shared" si="22"/>
        <v>0</v>
      </c>
      <c r="BM117" s="38" t="str">
        <f t="shared" si="22"/>
        <v>0</v>
      </c>
      <c r="BN117" s="34" t="str">
        <f t="shared" si="23"/>
        <v>31</v>
      </c>
    </row>
    <row r="118" ht="15.75" customHeight="1">
      <c r="A118" s="38"/>
      <c r="B118" s="67" t="s">
        <v>400</v>
      </c>
      <c r="C118" s="38"/>
      <c r="D118" s="53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68" t="str">
        <f t="shared" si="24"/>
        <v>48</v>
      </c>
      <c r="Q118" s="69" t="str">
        <f t="shared" si="25"/>
        <v>1</v>
      </c>
      <c r="R118" s="69" t="str">
        <f t="shared" si="26"/>
        <v>2</v>
      </c>
      <c r="S118" s="69" t="str">
        <f t="shared" si="27"/>
        <v>45</v>
      </c>
      <c r="T118" s="38">
        <v>1.0</v>
      </c>
      <c r="U118" s="38" t="s">
        <v>67</v>
      </c>
      <c r="V118" s="38" t="s">
        <v>67</v>
      </c>
      <c r="W118" s="38" t="s">
        <v>67</v>
      </c>
      <c r="X118" s="38" t="s">
        <v>67</v>
      </c>
      <c r="Y118" s="38" t="s">
        <v>67</v>
      </c>
      <c r="Z118" s="38" t="s">
        <v>67</v>
      </c>
      <c r="AA118" s="38" t="s">
        <v>67</v>
      </c>
      <c r="AB118" s="38" t="s">
        <v>67</v>
      </c>
      <c r="AC118" s="38" t="s">
        <v>67</v>
      </c>
      <c r="AD118" s="34" t="str">
        <f t="shared" si="19"/>
        <v>1</v>
      </c>
      <c r="AE118" s="38">
        <v>1.0</v>
      </c>
      <c r="AF118" s="38" t="s">
        <v>67</v>
      </c>
      <c r="AG118" s="38">
        <v>1.0</v>
      </c>
      <c r="AH118" s="38" t="s">
        <v>67</v>
      </c>
      <c r="AI118" s="38" t="s">
        <v>67</v>
      </c>
      <c r="AJ118" s="34" t="str">
        <f t="shared" si="21"/>
        <v>2</v>
      </c>
      <c r="AK118" s="38">
        <v>11.0</v>
      </c>
      <c r="AL118" s="38">
        <v>1.0</v>
      </c>
      <c r="AM118" s="38">
        <v>12.0</v>
      </c>
      <c r="AN118" s="38">
        <v>9.0</v>
      </c>
      <c r="AO118" s="38" t="s">
        <v>67</v>
      </c>
      <c r="AP118" s="38" t="s">
        <v>67</v>
      </c>
      <c r="AQ118" s="38" t="s">
        <v>67</v>
      </c>
      <c r="AR118" s="38" t="s">
        <v>67</v>
      </c>
      <c r="AS118" s="38">
        <v>8.0</v>
      </c>
      <c r="AT118" s="38" t="s">
        <v>67</v>
      </c>
      <c r="AU118" s="38" t="s">
        <v>67</v>
      </c>
      <c r="AV118" s="38" t="s">
        <v>67</v>
      </c>
      <c r="AW118" s="38" t="s">
        <v>67</v>
      </c>
      <c r="AX118" s="38" t="s">
        <v>67</v>
      </c>
      <c r="AY118" s="38" t="s">
        <v>67</v>
      </c>
      <c r="AZ118" s="38" t="s">
        <v>67</v>
      </c>
      <c r="BA118" s="38" t="s">
        <v>67</v>
      </c>
      <c r="BB118" s="38" t="s">
        <v>67</v>
      </c>
      <c r="BC118" s="38" t="s">
        <v>67</v>
      </c>
      <c r="BD118" s="38" t="s">
        <v>67</v>
      </c>
      <c r="BE118" s="38" t="s">
        <v>67</v>
      </c>
      <c r="BF118" s="38">
        <v>4.0</v>
      </c>
      <c r="BG118" s="38" t="s">
        <v>67</v>
      </c>
      <c r="BH118" s="38" t="s">
        <v>67</v>
      </c>
      <c r="BI118" s="38" t="s">
        <v>67</v>
      </c>
      <c r="BJ118" s="38" t="s">
        <v>67</v>
      </c>
      <c r="BK118" s="38" t="s">
        <v>67</v>
      </c>
      <c r="BL118" s="38" t="s">
        <v>67</v>
      </c>
      <c r="BM118" s="38" t="s">
        <v>67</v>
      </c>
      <c r="BN118" s="34" t="str">
        <f t="shared" si="23"/>
        <v>45</v>
      </c>
    </row>
    <row r="119" ht="15.75" customHeight="1">
      <c r="A119" s="38"/>
      <c r="B119" s="67" t="s">
        <v>401</v>
      </c>
      <c r="C119" s="38"/>
      <c r="D119" s="53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68" t="str">
        <f t="shared" si="24"/>
        <v>3</v>
      </c>
      <c r="Q119" s="69" t="str">
        <f t="shared" si="25"/>
        <v>0</v>
      </c>
      <c r="R119" s="69" t="str">
        <f t="shared" si="26"/>
        <v>1</v>
      </c>
      <c r="S119" s="69" t="str">
        <f t="shared" si="27"/>
        <v>2</v>
      </c>
      <c r="T119" s="38" t="s">
        <v>67</v>
      </c>
      <c r="U119" s="38" t="s">
        <v>67</v>
      </c>
      <c r="V119" s="38" t="s">
        <v>67</v>
      </c>
      <c r="W119" s="38" t="s">
        <v>67</v>
      </c>
      <c r="X119" s="38" t="s">
        <v>67</v>
      </c>
      <c r="Y119" s="38" t="s">
        <v>67</v>
      </c>
      <c r="Z119" s="38" t="s">
        <v>67</v>
      </c>
      <c r="AA119" s="38" t="s">
        <v>67</v>
      </c>
      <c r="AB119" s="38" t="s">
        <v>67</v>
      </c>
      <c r="AC119" s="38" t="s">
        <v>67</v>
      </c>
      <c r="AD119" s="34" t="str">
        <f t="shared" si="19"/>
        <v>0</v>
      </c>
      <c r="AE119" s="38">
        <v>1.0</v>
      </c>
      <c r="AF119" s="38" t="s">
        <v>67</v>
      </c>
      <c r="AG119" s="38" t="s">
        <v>67</v>
      </c>
      <c r="AH119" s="38" t="s">
        <v>67</v>
      </c>
      <c r="AI119" s="38" t="s">
        <v>67</v>
      </c>
      <c r="AJ119" s="34" t="str">
        <f t="shared" si="21"/>
        <v>1</v>
      </c>
      <c r="AK119" s="38">
        <v>1.0</v>
      </c>
      <c r="AL119" s="38" t="s">
        <v>67</v>
      </c>
      <c r="AM119" s="38">
        <v>0.0</v>
      </c>
      <c r="AN119" s="38" t="s">
        <v>67</v>
      </c>
      <c r="AO119" s="38" t="s">
        <v>67</v>
      </c>
      <c r="AP119" s="38" t="s">
        <v>67</v>
      </c>
      <c r="AQ119" s="38" t="s">
        <v>67</v>
      </c>
      <c r="AR119" s="38" t="s">
        <v>67</v>
      </c>
      <c r="AS119" s="38" t="s">
        <v>67</v>
      </c>
      <c r="AT119" s="38" t="s">
        <v>67</v>
      </c>
      <c r="AU119" s="38" t="s">
        <v>67</v>
      </c>
      <c r="AV119" s="38" t="s">
        <v>67</v>
      </c>
      <c r="AW119" s="38" t="s">
        <v>67</v>
      </c>
      <c r="AX119" s="38" t="s">
        <v>67</v>
      </c>
      <c r="AY119" s="38" t="s">
        <v>67</v>
      </c>
      <c r="AZ119" s="38" t="s">
        <v>67</v>
      </c>
      <c r="BA119" s="38" t="s">
        <v>67</v>
      </c>
      <c r="BB119" s="38" t="s">
        <v>67</v>
      </c>
      <c r="BC119" s="38" t="s">
        <v>67</v>
      </c>
      <c r="BD119" s="38" t="s">
        <v>67</v>
      </c>
      <c r="BE119" s="38" t="s">
        <v>67</v>
      </c>
      <c r="BF119" s="38">
        <v>1.0</v>
      </c>
      <c r="BG119" s="38" t="s">
        <v>67</v>
      </c>
      <c r="BH119" s="38" t="s">
        <v>67</v>
      </c>
      <c r="BI119" s="38" t="s">
        <v>67</v>
      </c>
      <c r="BJ119" s="38" t="s">
        <v>67</v>
      </c>
      <c r="BK119" s="38" t="s">
        <v>67</v>
      </c>
      <c r="BL119" s="38" t="s">
        <v>67</v>
      </c>
      <c r="BM119" s="38" t="s">
        <v>67</v>
      </c>
      <c r="BN119" s="34" t="str">
        <f t="shared" si="23"/>
        <v>2</v>
      </c>
    </row>
    <row r="120" ht="15.75" customHeight="1">
      <c r="A120" s="38"/>
      <c r="B120" s="67" t="s">
        <v>402</v>
      </c>
      <c r="C120" s="38"/>
      <c r="D120" s="53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68" t="str">
        <f t="shared" si="24"/>
        <v>2</v>
      </c>
      <c r="Q120" s="69" t="str">
        <f t="shared" si="25"/>
        <v>0</v>
      </c>
      <c r="R120" s="69" t="str">
        <f t="shared" si="26"/>
        <v>0</v>
      </c>
      <c r="S120" s="69" t="str">
        <f t="shared" si="27"/>
        <v>2</v>
      </c>
      <c r="T120" s="38" t="s">
        <v>67</v>
      </c>
      <c r="U120" s="38" t="s">
        <v>67</v>
      </c>
      <c r="V120" s="38" t="s">
        <v>67</v>
      </c>
      <c r="W120" s="38" t="s">
        <v>67</v>
      </c>
      <c r="X120" s="38" t="s">
        <v>67</v>
      </c>
      <c r="Y120" s="38" t="s">
        <v>67</v>
      </c>
      <c r="Z120" s="38" t="s">
        <v>67</v>
      </c>
      <c r="AA120" s="38" t="s">
        <v>67</v>
      </c>
      <c r="AB120" s="38" t="s">
        <v>67</v>
      </c>
      <c r="AC120" s="38" t="s">
        <v>67</v>
      </c>
      <c r="AD120" s="34" t="str">
        <f t="shared" si="19"/>
        <v>0</v>
      </c>
      <c r="AE120" s="38" t="s">
        <v>67</v>
      </c>
      <c r="AF120" s="38" t="s">
        <v>67</v>
      </c>
      <c r="AG120" s="38" t="s">
        <v>67</v>
      </c>
      <c r="AH120" s="38" t="s">
        <v>67</v>
      </c>
      <c r="AI120" s="38" t="s">
        <v>67</v>
      </c>
      <c r="AJ120" s="34" t="str">
        <f t="shared" si="21"/>
        <v>0</v>
      </c>
      <c r="AK120" s="38">
        <v>2.0</v>
      </c>
      <c r="AL120" s="38" t="s">
        <v>67</v>
      </c>
      <c r="AM120" s="38" t="s">
        <v>67</v>
      </c>
      <c r="AN120" s="38" t="s">
        <v>67</v>
      </c>
      <c r="AO120" s="38" t="s">
        <v>67</v>
      </c>
      <c r="AP120" s="38" t="s">
        <v>67</v>
      </c>
      <c r="AQ120" s="38" t="s">
        <v>67</v>
      </c>
      <c r="AR120" s="38" t="s">
        <v>67</v>
      </c>
      <c r="AS120" s="38" t="s">
        <v>67</v>
      </c>
      <c r="AT120" s="38" t="s">
        <v>67</v>
      </c>
      <c r="AU120" s="38" t="s">
        <v>67</v>
      </c>
      <c r="AV120" s="38" t="s">
        <v>67</v>
      </c>
      <c r="AW120" s="38" t="s">
        <v>67</v>
      </c>
      <c r="AX120" s="38" t="s">
        <v>67</v>
      </c>
      <c r="AY120" s="38" t="s">
        <v>67</v>
      </c>
      <c r="AZ120" s="38" t="s">
        <v>67</v>
      </c>
      <c r="BA120" s="38" t="s">
        <v>67</v>
      </c>
      <c r="BB120" s="38" t="s">
        <v>67</v>
      </c>
      <c r="BC120" s="38" t="s">
        <v>67</v>
      </c>
      <c r="BD120" s="38" t="s">
        <v>67</v>
      </c>
      <c r="BE120" s="38" t="s">
        <v>67</v>
      </c>
      <c r="BF120" s="38" t="s">
        <v>67</v>
      </c>
      <c r="BG120" s="38" t="s">
        <v>67</v>
      </c>
      <c r="BH120" s="38" t="s">
        <v>67</v>
      </c>
      <c r="BI120" s="38" t="s">
        <v>67</v>
      </c>
      <c r="BJ120" s="38" t="s">
        <v>67</v>
      </c>
      <c r="BK120" s="38" t="s">
        <v>67</v>
      </c>
      <c r="BL120" s="38" t="s">
        <v>67</v>
      </c>
      <c r="BM120" s="38" t="s">
        <v>67</v>
      </c>
      <c r="BN120" s="34" t="str">
        <f t="shared" si="23"/>
        <v>2</v>
      </c>
    </row>
    <row r="121" ht="15.75" customHeight="1">
      <c r="A121" s="38"/>
      <c r="B121" s="67" t="s">
        <v>32</v>
      </c>
      <c r="C121" s="38"/>
      <c r="D121" s="53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68" t="str">
        <f t="shared" si="24"/>
        <v>174</v>
      </c>
      <c r="Q121" s="69" t="str">
        <f t="shared" ref="Q121:S121" si="28">sum(Q117:Q120)</f>
        <v>64</v>
      </c>
      <c r="R121" s="69" t="str">
        <f t="shared" si="28"/>
        <v>30</v>
      </c>
      <c r="S121" s="69" t="str">
        <f t="shared" si="28"/>
        <v>80</v>
      </c>
      <c r="T121" s="38" t="str">
        <f t="shared" ref="T121:AC121" si="29">sum(T116:T120)</f>
        <v>34</v>
      </c>
      <c r="U121" s="38" t="str">
        <f t="shared" si="29"/>
        <v>4</v>
      </c>
      <c r="V121" s="38" t="str">
        <f t="shared" si="29"/>
        <v>3</v>
      </c>
      <c r="W121" s="38" t="str">
        <f t="shared" si="29"/>
        <v>8</v>
      </c>
      <c r="X121" s="38" t="str">
        <f t="shared" si="29"/>
        <v>6</v>
      </c>
      <c r="Y121" s="38" t="str">
        <f t="shared" si="29"/>
        <v>6</v>
      </c>
      <c r="Z121" s="38" t="str">
        <f t="shared" si="29"/>
        <v>1</v>
      </c>
      <c r="AA121" s="38" t="str">
        <f t="shared" si="29"/>
        <v>0</v>
      </c>
      <c r="AB121" s="38" t="str">
        <f t="shared" si="29"/>
        <v>1</v>
      </c>
      <c r="AC121" s="38" t="str">
        <f t="shared" si="29"/>
        <v>1</v>
      </c>
      <c r="AD121" s="34" t="str">
        <f t="shared" si="19"/>
        <v>64</v>
      </c>
      <c r="AE121" s="38" t="str">
        <f t="shared" ref="AE121:AI121" si="30">sum(AE116:AE120)</f>
        <v>18</v>
      </c>
      <c r="AF121" s="38" t="str">
        <f t="shared" si="30"/>
        <v>4</v>
      </c>
      <c r="AG121" s="38" t="str">
        <f t="shared" si="30"/>
        <v>2</v>
      </c>
      <c r="AH121" s="38" t="str">
        <f t="shared" si="30"/>
        <v>5</v>
      </c>
      <c r="AI121" s="38" t="str">
        <f t="shared" si="30"/>
        <v>1</v>
      </c>
      <c r="AJ121" s="34" t="str">
        <f t="shared" si="21"/>
        <v>30</v>
      </c>
      <c r="AK121" s="38" t="str">
        <f t="shared" ref="AK121:BM121" si="31">sum(AK116:AK120)</f>
        <v>32</v>
      </c>
      <c r="AL121" s="38" t="str">
        <f t="shared" si="31"/>
        <v>3</v>
      </c>
      <c r="AM121" s="38" t="str">
        <f t="shared" si="31"/>
        <v>18</v>
      </c>
      <c r="AN121" s="38" t="str">
        <f t="shared" si="31"/>
        <v>10</v>
      </c>
      <c r="AO121" s="38" t="str">
        <f t="shared" si="31"/>
        <v>0</v>
      </c>
      <c r="AP121" s="38" t="str">
        <f t="shared" si="31"/>
        <v>0</v>
      </c>
      <c r="AQ121" s="38" t="str">
        <f t="shared" si="31"/>
        <v>1</v>
      </c>
      <c r="AR121" s="38" t="str">
        <f t="shared" si="31"/>
        <v>0</v>
      </c>
      <c r="AS121" s="38" t="str">
        <f t="shared" si="31"/>
        <v>8</v>
      </c>
      <c r="AT121" s="38" t="str">
        <f t="shared" si="31"/>
        <v>0</v>
      </c>
      <c r="AU121" s="38" t="str">
        <f t="shared" si="31"/>
        <v>0</v>
      </c>
      <c r="AV121" s="38" t="str">
        <f t="shared" si="31"/>
        <v>0</v>
      </c>
      <c r="AW121" s="38" t="str">
        <f t="shared" si="31"/>
        <v>0</v>
      </c>
      <c r="AX121" s="38" t="str">
        <f t="shared" si="31"/>
        <v>0</v>
      </c>
      <c r="AY121" s="38" t="str">
        <f t="shared" si="31"/>
        <v>0</v>
      </c>
      <c r="AZ121" s="38" t="str">
        <f t="shared" si="31"/>
        <v>0</v>
      </c>
      <c r="BA121" s="38" t="str">
        <f t="shared" si="31"/>
        <v>0</v>
      </c>
      <c r="BB121" s="38" t="str">
        <f t="shared" si="31"/>
        <v>0</v>
      </c>
      <c r="BC121" s="38" t="str">
        <f t="shared" si="31"/>
        <v>0</v>
      </c>
      <c r="BD121" s="38" t="str">
        <f t="shared" si="31"/>
        <v>0</v>
      </c>
      <c r="BE121" s="38" t="str">
        <f t="shared" si="31"/>
        <v>0</v>
      </c>
      <c r="BF121" s="38" t="str">
        <f t="shared" si="31"/>
        <v>8</v>
      </c>
      <c r="BG121" s="38" t="str">
        <f t="shared" si="31"/>
        <v>0</v>
      </c>
      <c r="BH121" s="38" t="str">
        <f t="shared" si="31"/>
        <v>0</v>
      </c>
      <c r="BI121" s="38" t="str">
        <f t="shared" si="31"/>
        <v>0</v>
      </c>
      <c r="BJ121" s="38" t="str">
        <f t="shared" si="31"/>
        <v>0</v>
      </c>
      <c r="BK121" s="38" t="str">
        <f t="shared" si="31"/>
        <v>0</v>
      </c>
      <c r="BL121" s="38" t="str">
        <f t="shared" si="31"/>
        <v>0</v>
      </c>
      <c r="BM121" s="38" t="str">
        <f t="shared" si="31"/>
        <v>0</v>
      </c>
      <c r="BN121" s="34" t="str">
        <f t="shared" si="23"/>
        <v>80</v>
      </c>
    </row>
    <row r="122" ht="15.75" customHeight="1">
      <c r="A122" s="38"/>
      <c r="B122" s="38"/>
      <c r="C122" s="38"/>
      <c r="D122" s="53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</row>
    <row r="123" ht="15.75" customHeight="1">
      <c r="A123" s="38"/>
      <c r="B123" s="38"/>
      <c r="C123" s="38"/>
      <c r="D123" s="53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</row>
    <row r="124" ht="15.75" customHeight="1">
      <c r="A124" s="70"/>
      <c r="B124" s="70"/>
      <c r="C124" s="71"/>
      <c r="D124" s="71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70"/>
      <c r="BL124" s="70"/>
      <c r="BM124" s="70"/>
      <c r="BN124" s="70"/>
    </row>
    <row r="125" ht="15.75" customHeight="1">
      <c r="A125" s="70"/>
      <c r="B125" s="70"/>
      <c r="C125" s="71"/>
      <c r="D125" s="71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</row>
    <row r="126" ht="15.75" customHeight="1">
      <c r="A126" s="70"/>
      <c r="B126" s="70"/>
      <c r="C126" s="71"/>
      <c r="D126" s="71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70"/>
      <c r="BL126" s="70"/>
      <c r="BM126" s="70"/>
      <c r="BN126" s="70"/>
    </row>
    <row r="127" ht="15.75" customHeight="1">
      <c r="A127" s="70"/>
      <c r="B127" s="70"/>
      <c r="C127" s="71"/>
      <c r="D127" s="71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70"/>
      <c r="BL127" s="70"/>
      <c r="BM127" s="70"/>
      <c r="BN127" s="70"/>
    </row>
    <row r="128" ht="15.75" customHeight="1">
      <c r="A128" s="70"/>
      <c r="B128" s="70"/>
      <c r="C128" s="71"/>
      <c r="D128" s="71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70"/>
      <c r="BL128" s="70"/>
      <c r="BM128" s="70"/>
      <c r="BN128" s="70"/>
    </row>
    <row r="129" ht="15.75" customHeight="1">
      <c r="A129" s="70"/>
      <c r="B129" s="70"/>
      <c r="C129" s="71"/>
      <c r="D129" s="71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70"/>
      <c r="BL129" s="70"/>
      <c r="BM129" s="70"/>
      <c r="BN129" s="70"/>
    </row>
    <row r="130" ht="15.75" customHeight="1">
      <c r="A130" s="70"/>
      <c r="B130" s="70"/>
      <c r="C130" s="71"/>
      <c r="D130" s="71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70"/>
      <c r="BL130" s="70"/>
      <c r="BM130" s="70"/>
      <c r="BN130" s="70"/>
    </row>
    <row r="131" ht="15.75" customHeight="1">
      <c r="A131" s="70"/>
      <c r="B131" s="70"/>
      <c r="C131" s="71"/>
      <c r="D131" s="71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</row>
    <row r="132" ht="15.75" customHeight="1">
      <c r="A132" s="70"/>
      <c r="B132" s="70"/>
      <c r="C132" s="71"/>
      <c r="D132" s="71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70"/>
      <c r="BL132" s="70"/>
      <c r="BM132" s="70"/>
      <c r="BN132" s="70"/>
    </row>
    <row r="133" ht="15.75" customHeight="1">
      <c r="A133" s="70"/>
      <c r="B133" s="70"/>
      <c r="C133" s="71"/>
      <c r="D133" s="71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70"/>
      <c r="BL133" s="70"/>
      <c r="BM133" s="70"/>
      <c r="BN133" s="70"/>
    </row>
    <row r="134" ht="15.75" customHeight="1">
      <c r="A134" s="70"/>
      <c r="B134" s="70"/>
      <c r="C134" s="71"/>
      <c r="D134" s="71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</row>
    <row r="135" ht="15.75" customHeight="1">
      <c r="A135" s="70"/>
      <c r="B135" s="70"/>
      <c r="C135" s="71"/>
      <c r="D135" s="71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70"/>
      <c r="BL135" s="70"/>
      <c r="BM135" s="70"/>
      <c r="BN135" s="70"/>
    </row>
    <row r="136" ht="15.75" customHeight="1">
      <c r="A136" s="70"/>
      <c r="B136" s="70"/>
      <c r="C136" s="71"/>
      <c r="D136" s="71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70"/>
      <c r="BL136" s="70"/>
      <c r="BM136" s="70"/>
      <c r="BN136" s="70"/>
    </row>
    <row r="137" ht="15.75" customHeight="1">
      <c r="A137" s="70"/>
      <c r="B137" s="70"/>
      <c r="C137" s="71"/>
      <c r="D137" s="71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</row>
    <row r="138" ht="15.75" customHeight="1">
      <c r="A138" s="70"/>
      <c r="B138" s="70"/>
      <c r="C138" s="71"/>
      <c r="D138" s="71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70"/>
      <c r="BL138" s="70"/>
      <c r="BM138" s="70"/>
      <c r="BN138" s="70"/>
    </row>
    <row r="139" ht="15.75" customHeight="1">
      <c r="A139" s="70"/>
      <c r="B139" s="70"/>
      <c r="C139" s="71"/>
      <c r="D139" s="71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/>
    </row>
    <row r="140" ht="15.75" customHeight="1">
      <c r="A140" s="70"/>
      <c r="B140" s="70"/>
      <c r="C140" s="71"/>
      <c r="D140" s="71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70"/>
      <c r="BL140" s="70"/>
      <c r="BM140" s="70"/>
      <c r="BN140" s="70"/>
    </row>
    <row r="141" ht="15.75" customHeight="1">
      <c r="A141" s="70"/>
      <c r="B141" s="70"/>
      <c r="C141" s="71"/>
      <c r="D141" s="71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/>
    </row>
    <row r="142" ht="15.75" customHeight="1">
      <c r="A142" s="70"/>
      <c r="B142" s="70"/>
      <c r="C142" s="71"/>
      <c r="D142" s="71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/>
    </row>
    <row r="143" ht="15.75" customHeight="1">
      <c r="A143" s="70"/>
      <c r="B143" s="70"/>
      <c r="C143" s="71"/>
      <c r="D143" s="71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</row>
    <row r="144" ht="15.75" customHeight="1">
      <c r="A144" s="70"/>
      <c r="B144" s="70"/>
      <c r="C144" s="71"/>
      <c r="D144" s="71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/>
    </row>
    <row r="145" ht="15.75" customHeight="1">
      <c r="A145" s="70"/>
      <c r="B145" s="70"/>
      <c r="C145" s="71"/>
      <c r="D145" s="71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/>
    </row>
    <row r="146" ht="15.75" customHeight="1">
      <c r="A146" s="70"/>
      <c r="B146" s="70"/>
      <c r="C146" s="71"/>
      <c r="D146" s="71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/>
    </row>
    <row r="147" ht="15.75" customHeight="1">
      <c r="A147" s="70"/>
      <c r="B147" s="70"/>
      <c r="C147" s="71"/>
      <c r="D147" s="71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/>
    </row>
    <row r="148" ht="15.75" customHeight="1">
      <c r="A148" s="70"/>
      <c r="B148" s="70"/>
      <c r="C148" s="71"/>
      <c r="D148" s="71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</row>
    <row r="149" ht="15.75" customHeight="1">
      <c r="A149" s="70"/>
      <c r="B149" s="70"/>
      <c r="C149" s="71"/>
      <c r="D149" s="71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</row>
    <row r="150" ht="15.75" customHeight="1">
      <c r="A150" s="70"/>
      <c r="B150" s="70"/>
      <c r="C150" s="71"/>
      <c r="D150" s="71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</row>
    <row r="151" ht="15.75" customHeight="1">
      <c r="A151" s="70"/>
      <c r="B151" s="70"/>
      <c r="C151" s="71"/>
      <c r="D151" s="71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70"/>
      <c r="BL151" s="70"/>
      <c r="BM151" s="70"/>
      <c r="BN151" s="70"/>
    </row>
    <row r="152" ht="15.75" customHeight="1">
      <c r="A152" s="70"/>
      <c r="B152" s="70"/>
      <c r="C152" s="71"/>
      <c r="D152" s="71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70"/>
      <c r="BL152" s="70"/>
      <c r="BM152" s="70"/>
      <c r="BN152" s="70"/>
    </row>
    <row r="153" ht="15.75" customHeight="1">
      <c r="A153" s="70"/>
      <c r="B153" s="70"/>
      <c r="C153" s="71"/>
      <c r="D153" s="71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</row>
    <row r="154" ht="15.75" customHeight="1">
      <c r="A154" s="70"/>
      <c r="B154" s="70"/>
      <c r="C154" s="71"/>
      <c r="D154" s="71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70"/>
      <c r="BL154" s="70"/>
      <c r="BM154" s="70"/>
      <c r="BN154" s="70"/>
    </row>
    <row r="155" ht="15.75" customHeight="1">
      <c r="A155" s="70"/>
      <c r="B155" s="70"/>
      <c r="C155" s="71"/>
      <c r="D155" s="71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</row>
    <row r="156" ht="15.75" customHeight="1">
      <c r="A156" s="70"/>
      <c r="B156" s="70"/>
      <c r="C156" s="71"/>
      <c r="D156" s="71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</row>
    <row r="157" ht="15.75" customHeight="1">
      <c r="A157" s="70"/>
      <c r="B157" s="70"/>
      <c r="C157" s="71"/>
      <c r="D157" s="71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70"/>
      <c r="BL157" s="70"/>
      <c r="BM157" s="70"/>
      <c r="BN157" s="70"/>
    </row>
    <row r="158" ht="15.75" customHeight="1">
      <c r="A158" s="70"/>
      <c r="B158" s="70"/>
      <c r="C158" s="71"/>
      <c r="D158" s="71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</row>
    <row r="159" ht="15.75" customHeight="1">
      <c r="A159" s="70"/>
      <c r="B159" s="70"/>
      <c r="C159" s="71"/>
      <c r="D159" s="71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</row>
    <row r="160" ht="15.75" customHeight="1">
      <c r="A160" s="70"/>
      <c r="B160" s="70"/>
      <c r="C160" s="71"/>
      <c r="D160" s="71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70"/>
      <c r="BL160" s="70"/>
      <c r="BM160" s="70"/>
      <c r="BN160" s="70"/>
    </row>
    <row r="161" ht="15.75" customHeight="1">
      <c r="A161" s="70"/>
      <c r="B161" s="70"/>
      <c r="C161" s="71"/>
      <c r="D161" s="71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</row>
    <row r="162" ht="15.75" customHeight="1">
      <c r="A162" s="70"/>
      <c r="B162" s="70"/>
      <c r="C162" s="71"/>
      <c r="D162" s="71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70"/>
      <c r="BL162" s="70"/>
      <c r="BM162" s="70"/>
      <c r="BN162" s="70"/>
    </row>
    <row r="163" ht="15.75" customHeight="1">
      <c r="A163" s="70"/>
      <c r="B163" s="70"/>
      <c r="C163" s="71"/>
      <c r="D163" s="71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70"/>
      <c r="BL163" s="70"/>
      <c r="BM163" s="70"/>
      <c r="BN163" s="70"/>
    </row>
    <row r="164" ht="15.75" customHeight="1">
      <c r="A164" s="70"/>
      <c r="B164" s="70"/>
      <c r="C164" s="71"/>
      <c r="D164" s="71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70"/>
      <c r="BL164" s="70"/>
      <c r="BM164" s="70"/>
      <c r="BN164" s="70"/>
    </row>
    <row r="165" ht="15.75" customHeight="1">
      <c r="A165" s="70"/>
      <c r="B165" s="70"/>
      <c r="C165" s="71"/>
      <c r="D165" s="71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70"/>
      <c r="BL165" s="70"/>
      <c r="BM165" s="70"/>
      <c r="BN165" s="70"/>
    </row>
    <row r="166" ht="15.75" customHeight="1">
      <c r="A166" s="70"/>
      <c r="B166" s="70"/>
      <c r="C166" s="71"/>
      <c r="D166" s="71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70"/>
      <c r="BL166" s="70"/>
      <c r="BM166" s="70"/>
      <c r="BN166" s="70"/>
    </row>
    <row r="167" ht="15.75" customHeight="1">
      <c r="A167" s="70"/>
      <c r="B167" s="70"/>
      <c r="C167" s="71"/>
      <c r="D167" s="71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</row>
    <row r="168" ht="15.75" customHeight="1">
      <c r="A168" s="70"/>
      <c r="B168" s="70"/>
      <c r="C168" s="71"/>
      <c r="D168" s="71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</row>
    <row r="169" ht="15.75" customHeight="1">
      <c r="A169" s="70"/>
      <c r="B169" s="70"/>
      <c r="C169" s="71"/>
      <c r="D169" s="71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</row>
    <row r="170" ht="15.75" customHeight="1">
      <c r="A170" s="70"/>
      <c r="B170" s="70"/>
      <c r="C170" s="71"/>
      <c r="D170" s="71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</row>
    <row r="171" ht="15.75" customHeight="1">
      <c r="A171" s="70"/>
      <c r="B171" s="70"/>
      <c r="C171" s="71"/>
      <c r="D171" s="71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</row>
    <row r="172" ht="15.75" customHeight="1">
      <c r="A172" s="70"/>
      <c r="B172" s="70"/>
      <c r="C172" s="71"/>
      <c r="D172" s="71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</row>
    <row r="173" ht="15.75" customHeight="1">
      <c r="A173" s="70"/>
      <c r="B173" s="70"/>
      <c r="C173" s="71"/>
      <c r="D173" s="71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</row>
    <row r="174" ht="15.75" customHeight="1">
      <c r="A174" s="70"/>
      <c r="B174" s="70"/>
      <c r="C174" s="71"/>
      <c r="D174" s="71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</row>
    <row r="175" ht="15.75" customHeight="1">
      <c r="A175" s="70"/>
      <c r="B175" s="70"/>
      <c r="C175" s="71"/>
      <c r="D175" s="71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70"/>
      <c r="BL175" s="70"/>
      <c r="BM175" s="70"/>
      <c r="BN175" s="70"/>
    </row>
    <row r="176" ht="15.75" customHeight="1">
      <c r="A176" s="70"/>
      <c r="B176" s="70"/>
      <c r="C176" s="71"/>
      <c r="D176" s="71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70"/>
      <c r="BL176" s="70"/>
      <c r="BM176" s="70"/>
      <c r="BN176" s="70"/>
    </row>
    <row r="177" ht="15.75" customHeight="1">
      <c r="A177" s="70"/>
      <c r="B177" s="70"/>
      <c r="C177" s="71"/>
      <c r="D177" s="71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70"/>
      <c r="BL177" s="70"/>
      <c r="BM177" s="70"/>
      <c r="BN177" s="70"/>
    </row>
    <row r="178" ht="15.75" customHeight="1">
      <c r="A178" s="70"/>
      <c r="B178" s="70"/>
      <c r="C178" s="71"/>
      <c r="D178" s="71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70"/>
      <c r="BL178" s="70"/>
      <c r="BM178" s="70"/>
      <c r="BN178" s="70"/>
    </row>
    <row r="179" ht="15.75" customHeight="1">
      <c r="A179" s="70"/>
      <c r="B179" s="70"/>
      <c r="C179" s="71"/>
      <c r="D179" s="71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</row>
    <row r="180" ht="15.75" customHeight="1">
      <c r="A180" s="70"/>
      <c r="B180" s="70"/>
      <c r="C180" s="71"/>
      <c r="D180" s="71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</row>
    <row r="181" ht="15.75" customHeight="1">
      <c r="A181" s="70"/>
      <c r="B181" s="70"/>
      <c r="C181" s="71"/>
      <c r="D181" s="71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</row>
    <row r="182" ht="15.75" customHeight="1">
      <c r="A182" s="70"/>
      <c r="B182" s="70"/>
      <c r="C182" s="71"/>
      <c r="D182" s="71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</row>
    <row r="183" ht="15.75" customHeight="1">
      <c r="A183" s="70"/>
      <c r="B183" s="70"/>
      <c r="C183" s="71"/>
      <c r="D183" s="71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</row>
    <row r="184" ht="15.75" customHeight="1">
      <c r="A184" s="70"/>
      <c r="B184" s="70"/>
      <c r="C184" s="71"/>
      <c r="D184" s="71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</row>
    <row r="185" ht="15.75" customHeight="1">
      <c r="A185" s="70"/>
      <c r="B185" s="70"/>
      <c r="C185" s="71"/>
      <c r="D185" s="71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</row>
    <row r="186" ht="15.75" customHeight="1">
      <c r="A186" s="70"/>
      <c r="B186" s="70"/>
      <c r="C186" s="71"/>
      <c r="D186" s="71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</row>
    <row r="187" ht="15.75" customHeight="1">
      <c r="A187" s="70"/>
      <c r="B187" s="70"/>
      <c r="C187" s="71"/>
      <c r="D187" s="71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</row>
    <row r="188" ht="15.75" customHeight="1">
      <c r="A188" s="70"/>
      <c r="B188" s="70"/>
      <c r="C188" s="71"/>
      <c r="D188" s="71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</row>
    <row r="189" ht="15.75" customHeight="1">
      <c r="A189" s="70"/>
      <c r="B189" s="70"/>
      <c r="C189" s="71"/>
      <c r="D189" s="71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</row>
    <row r="190" ht="15.75" customHeight="1">
      <c r="A190" s="70"/>
      <c r="B190" s="70"/>
      <c r="C190" s="71"/>
      <c r="D190" s="71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</row>
    <row r="191" ht="15.75" customHeight="1">
      <c r="A191" s="70"/>
      <c r="B191" s="70"/>
      <c r="C191" s="71"/>
      <c r="D191" s="71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</row>
    <row r="192" ht="15.75" customHeight="1">
      <c r="A192" s="70"/>
      <c r="B192" s="70"/>
      <c r="C192" s="71"/>
      <c r="D192" s="71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</row>
    <row r="193" ht="15.75" customHeight="1">
      <c r="A193" s="70"/>
      <c r="B193" s="70"/>
      <c r="C193" s="71"/>
      <c r="D193" s="71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  <c r="BN193" s="70"/>
    </row>
    <row r="194" ht="15.75" customHeight="1">
      <c r="A194" s="70"/>
      <c r="B194" s="70"/>
      <c r="C194" s="71"/>
      <c r="D194" s="71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</row>
    <row r="195" ht="15.75" customHeight="1">
      <c r="A195" s="70"/>
      <c r="B195" s="70"/>
      <c r="C195" s="71"/>
      <c r="D195" s="71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</row>
    <row r="196" ht="15.75" customHeight="1">
      <c r="A196" s="70"/>
      <c r="B196" s="70"/>
      <c r="C196" s="71"/>
      <c r="D196" s="71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</row>
    <row r="197" ht="15.75" customHeight="1">
      <c r="A197" s="70"/>
      <c r="B197" s="70"/>
      <c r="C197" s="71"/>
      <c r="D197" s="71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</row>
    <row r="198" ht="15.75" customHeight="1">
      <c r="A198" s="70"/>
      <c r="B198" s="70"/>
      <c r="C198" s="71"/>
      <c r="D198" s="71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</row>
    <row r="199" ht="15.75" customHeight="1">
      <c r="A199" s="70"/>
      <c r="B199" s="70"/>
      <c r="C199" s="71"/>
      <c r="D199" s="71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</row>
    <row r="200" ht="15.75" customHeight="1">
      <c r="A200" s="70"/>
      <c r="B200" s="70"/>
      <c r="C200" s="71"/>
      <c r="D200" s="71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</row>
    <row r="201" ht="15.75" customHeight="1">
      <c r="A201" s="70"/>
      <c r="B201" s="70"/>
      <c r="C201" s="71"/>
      <c r="D201" s="71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</row>
    <row r="202" ht="15.75" customHeight="1">
      <c r="A202" s="70"/>
      <c r="B202" s="70"/>
      <c r="C202" s="71"/>
      <c r="D202" s="71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</row>
    <row r="203" ht="15.75" customHeight="1">
      <c r="A203" s="70"/>
      <c r="B203" s="70"/>
      <c r="C203" s="71"/>
      <c r="D203" s="71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</row>
    <row r="204" ht="15.75" customHeight="1">
      <c r="A204" s="70"/>
      <c r="B204" s="70"/>
      <c r="C204" s="71"/>
      <c r="D204" s="71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</row>
    <row r="205" ht="15.75" customHeight="1">
      <c r="A205" s="70"/>
      <c r="B205" s="70"/>
      <c r="C205" s="71"/>
      <c r="D205" s="71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</row>
    <row r="206" ht="15.75" customHeight="1">
      <c r="A206" s="70"/>
      <c r="B206" s="70"/>
      <c r="C206" s="71"/>
      <c r="D206" s="71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</row>
    <row r="207" ht="15.75" customHeight="1">
      <c r="A207" s="70"/>
      <c r="B207" s="70"/>
      <c r="C207" s="71"/>
      <c r="D207" s="71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</row>
    <row r="208" ht="15.75" customHeight="1">
      <c r="A208" s="70"/>
      <c r="B208" s="70"/>
      <c r="C208" s="71"/>
      <c r="D208" s="71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</row>
    <row r="209" ht="15.75" customHeight="1">
      <c r="A209" s="70"/>
      <c r="B209" s="70"/>
      <c r="C209" s="71"/>
      <c r="D209" s="71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</row>
    <row r="210" ht="15.75" customHeight="1">
      <c r="A210" s="70"/>
      <c r="B210" s="70"/>
      <c r="C210" s="71"/>
      <c r="D210" s="71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</row>
    <row r="211" ht="15.75" customHeight="1">
      <c r="A211" s="70"/>
      <c r="B211" s="70"/>
      <c r="C211" s="71"/>
      <c r="D211" s="71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</row>
    <row r="212" ht="15.75" customHeight="1">
      <c r="A212" s="70"/>
      <c r="B212" s="70"/>
      <c r="C212" s="71"/>
      <c r="D212" s="71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</row>
    <row r="213" ht="15.75" customHeight="1">
      <c r="A213" s="70"/>
      <c r="B213" s="70"/>
      <c r="C213" s="71"/>
      <c r="D213" s="71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</row>
    <row r="214" ht="15.75" customHeight="1">
      <c r="A214" s="70"/>
      <c r="B214" s="70"/>
      <c r="C214" s="71"/>
      <c r="D214" s="71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</row>
    <row r="215" ht="15.75" customHeight="1">
      <c r="A215" s="70"/>
      <c r="B215" s="70"/>
      <c r="C215" s="71"/>
      <c r="D215" s="71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</row>
    <row r="216" ht="15.75" customHeight="1">
      <c r="A216" s="70"/>
      <c r="B216" s="70"/>
      <c r="C216" s="71"/>
      <c r="D216" s="71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</row>
    <row r="217" ht="15.75" customHeight="1">
      <c r="A217" s="70"/>
      <c r="B217" s="70"/>
      <c r="C217" s="71"/>
      <c r="D217" s="71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</row>
    <row r="218" ht="15.75" customHeight="1">
      <c r="A218" s="70"/>
      <c r="B218" s="70"/>
      <c r="C218" s="71"/>
      <c r="D218" s="71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</row>
    <row r="219" ht="15.75" customHeight="1">
      <c r="A219" s="70"/>
      <c r="B219" s="70"/>
      <c r="C219" s="71"/>
      <c r="D219" s="71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</row>
    <row r="220" ht="15.75" customHeight="1">
      <c r="A220" s="70"/>
      <c r="B220" s="70"/>
      <c r="C220" s="71"/>
      <c r="D220" s="71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</row>
    <row r="221" ht="15.75" customHeight="1">
      <c r="A221" s="70"/>
      <c r="B221" s="70"/>
      <c r="C221" s="71"/>
      <c r="D221" s="71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  <c r="BN221" s="70"/>
    </row>
    <row r="222" ht="15.75" customHeight="1">
      <c r="A222" s="70"/>
      <c r="B222" s="70"/>
      <c r="C222" s="71"/>
      <c r="D222" s="71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  <c r="BN222" s="70"/>
    </row>
    <row r="223" ht="15.75" customHeight="1">
      <c r="A223" s="70"/>
      <c r="B223" s="70"/>
      <c r="C223" s="71"/>
      <c r="D223" s="71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</row>
    <row r="224" ht="15.75" customHeight="1">
      <c r="A224" s="70"/>
      <c r="B224" s="70"/>
      <c r="C224" s="71"/>
      <c r="D224" s="71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</row>
    <row r="225" ht="15.75" customHeight="1">
      <c r="A225" s="70"/>
      <c r="B225" s="70"/>
      <c r="C225" s="71"/>
      <c r="D225" s="71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</row>
    <row r="226" ht="15.75" customHeight="1">
      <c r="A226" s="70"/>
      <c r="B226" s="70"/>
      <c r="C226" s="71"/>
      <c r="D226" s="71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</row>
    <row r="227" ht="15.75" customHeight="1">
      <c r="A227" s="70"/>
      <c r="B227" s="70"/>
      <c r="C227" s="71"/>
      <c r="D227" s="71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</row>
    <row r="228" ht="15.75" customHeight="1">
      <c r="A228" s="70"/>
      <c r="B228" s="70"/>
      <c r="C228" s="71"/>
      <c r="D228" s="71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</row>
    <row r="229" ht="15.75" customHeight="1">
      <c r="A229" s="70"/>
      <c r="B229" s="70"/>
      <c r="C229" s="71"/>
      <c r="D229" s="71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</row>
    <row r="230" ht="15.75" customHeight="1">
      <c r="A230" s="70"/>
      <c r="B230" s="70"/>
      <c r="C230" s="71"/>
      <c r="D230" s="71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</row>
    <row r="231" ht="15.75" customHeight="1">
      <c r="A231" s="70"/>
      <c r="B231" s="70"/>
      <c r="C231" s="71"/>
      <c r="D231" s="71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</row>
    <row r="232" ht="15.75" customHeight="1">
      <c r="A232" s="70"/>
      <c r="B232" s="70"/>
      <c r="C232" s="71"/>
      <c r="D232" s="71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</row>
    <row r="233" ht="15.75" customHeight="1">
      <c r="A233" s="70"/>
      <c r="B233" s="70"/>
      <c r="C233" s="71"/>
      <c r="D233" s="71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</row>
    <row r="234" ht="15.75" customHeight="1">
      <c r="A234" s="70"/>
      <c r="B234" s="70"/>
      <c r="C234" s="71"/>
      <c r="D234" s="71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</row>
    <row r="235" ht="15.75" customHeight="1">
      <c r="A235" s="70"/>
      <c r="B235" s="70"/>
      <c r="C235" s="71"/>
      <c r="D235" s="71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  <c r="BN235" s="70"/>
    </row>
    <row r="236" ht="15.75" customHeight="1">
      <c r="A236" s="70"/>
      <c r="B236" s="70"/>
      <c r="C236" s="71"/>
      <c r="D236" s="71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</row>
    <row r="237" ht="15.75" customHeight="1">
      <c r="A237" s="70"/>
      <c r="B237" s="70"/>
      <c r="C237" s="71"/>
      <c r="D237" s="71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</row>
    <row r="238" ht="15.75" customHeight="1">
      <c r="A238" s="70"/>
      <c r="B238" s="70"/>
      <c r="C238" s="71"/>
      <c r="D238" s="71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</row>
    <row r="239" ht="15.75" customHeight="1">
      <c r="A239" s="70"/>
      <c r="B239" s="70"/>
      <c r="C239" s="71"/>
      <c r="D239" s="71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</row>
    <row r="240" ht="15.75" customHeight="1">
      <c r="A240" s="70"/>
      <c r="B240" s="70"/>
      <c r="C240" s="71"/>
      <c r="D240" s="71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</row>
    <row r="241" ht="15.75" customHeight="1">
      <c r="A241" s="70"/>
      <c r="B241" s="70"/>
      <c r="C241" s="71"/>
      <c r="D241" s="71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</row>
    <row r="242" ht="15.75" customHeight="1">
      <c r="A242" s="70"/>
      <c r="B242" s="70"/>
      <c r="C242" s="71"/>
      <c r="D242" s="71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</row>
    <row r="243" ht="15.75" customHeight="1">
      <c r="A243" s="70"/>
      <c r="B243" s="70"/>
      <c r="C243" s="71"/>
      <c r="D243" s="71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</row>
    <row r="244" ht="15.75" customHeight="1">
      <c r="A244" s="70"/>
      <c r="B244" s="70"/>
      <c r="C244" s="71"/>
      <c r="D244" s="71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</row>
    <row r="245" ht="15.75" customHeight="1">
      <c r="A245" s="70"/>
      <c r="B245" s="70"/>
      <c r="C245" s="71"/>
      <c r="D245" s="71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</row>
    <row r="246" ht="15.75" customHeight="1">
      <c r="A246" s="70"/>
      <c r="B246" s="70"/>
      <c r="C246" s="71"/>
      <c r="D246" s="71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</row>
    <row r="247" ht="15.75" customHeight="1">
      <c r="A247" s="70"/>
      <c r="B247" s="70"/>
      <c r="C247" s="71"/>
      <c r="D247" s="71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  <c r="BN247" s="70"/>
    </row>
    <row r="248" ht="15.75" customHeight="1">
      <c r="A248" s="70"/>
      <c r="B248" s="70"/>
      <c r="C248" s="71"/>
      <c r="D248" s="71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  <c r="BN248" s="70"/>
    </row>
    <row r="249" ht="15.75" customHeight="1">
      <c r="A249" s="70"/>
      <c r="B249" s="70"/>
      <c r="C249" s="71"/>
      <c r="D249" s="71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</row>
    <row r="250" ht="15.75" customHeight="1">
      <c r="A250" s="70"/>
      <c r="B250" s="70"/>
      <c r="C250" s="71"/>
      <c r="D250" s="71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</row>
    <row r="251" ht="15.75" customHeight="1">
      <c r="A251" s="70"/>
      <c r="B251" s="70"/>
      <c r="C251" s="71"/>
      <c r="D251" s="71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</row>
    <row r="252" ht="15.75" customHeight="1">
      <c r="A252" s="70"/>
      <c r="B252" s="70"/>
      <c r="C252" s="71"/>
      <c r="D252" s="71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</row>
    <row r="253" ht="15.75" customHeight="1">
      <c r="A253" s="70"/>
      <c r="B253" s="70"/>
      <c r="C253" s="71"/>
      <c r="D253" s="71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</row>
    <row r="254" ht="15.75" customHeight="1">
      <c r="A254" s="70"/>
      <c r="B254" s="70"/>
      <c r="C254" s="71"/>
      <c r="D254" s="71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</row>
    <row r="255" ht="15.75" customHeight="1">
      <c r="A255" s="70"/>
      <c r="B255" s="70"/>
      <c r="C255" s="71"/>
      <c r="D255" s="71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</row>
    <row r="256" ht="15.75" customHeight="1">
      <c r="A256" s="70"/>
      <c r="B256" s="70"/>
      <c r="C256" s="71"/>
      <c r="D256" s="71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</row>
    <row r="257" ht="15.75" customHeight="1">
      <c r="A257" s="70"/>
      <c r="B257" s="70"/>
      <c r="C257" s="71"/>
      <c r="D257" s="71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</row>
    <row r="258" ht="15.75" customHeight="1">
      <c r="A258" s="70"/>
      <c r="B258" s="70"/>
      <c r="C258" s="71"/>
      <c r="D258" s="71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</row>
    <row r="259" ht="15.75" customHeight="1">
      <c r="A259" s="70"/>
      <c r="B259" s="70"/>
      <c r="C259" s="71"/>
      <c r="D259" s="71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</row>
    <row r="260" ht="15.75" customHeight="1">
      <c r="A260" s="70"/>
      <c r="B260" s="70"/>
      <c r="C260" s="71"/>
      <c r="D260" s="71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</row>
    <row r="261" ht="15.75" customHeight="1">
      <c r="A261" s="70"/>
      <c r="B261" s="70"/>
      <c r="C261" s="71"/>
      <c r="D261" s="71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</row>
    <row r="262" ht="15.75" customHeight="1">
      <c r="A262" s="70"/>
      <c r="B262" s="70"/>
      <c r="C262" s="71"/>
      <c r="D262" s="71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</row>
    <row r="263" ht="15.75" customHeight="1">
      <c r="A263" s="70"/>
      <c r="B263" s="70"/>
      <c r="C263" s="71"/>
      <c r="D263" s="71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  <c r="BN263" s="70"/>
    </row>
    <row r="264" ht="15.75" customHeight="1">
      <c r="A264" s="70"/>
      <c r="B264" s="70"/>
      <c r="C264" s="71"/>
      <c r="D264" s="71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</row>
    <row r="265" ht="15.75" customHeight="1">
      <c r="A265" s="70"/>
      <c r="B265" s="70"/>
      <c r="C265" s="71"/>
      <c r="D265" s="71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</row>
    <row r="266" ht="15.75" customHeight="1">
      <c r="A266" s="70"/>
      <c r="B266" s="70"/>
      <c r="C266" s="71"/>
      <c r="D266" s="71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</row>
    <row r="267" ht="15.75" customHeight="1">
      <c r="A267" s="70"/>
      <c r="B267" s="70"/>
      <c r="C267" s="71"/>
      <c r="D267" s="71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</row>
    <row r="268" ht="15.75" customHeight="1">
      <c r="A268" s="70"/>
      <c r="B268" s="70"/>
      <c r="C268" s="71"/>
      <c r="D268" s="71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</row>
    <row r="269" ht="15.75" customHeight="1">
      <c r="A269" s="70"/>
      <c r="B269" s="70"/>
      <c r="C269" s="71"/>
      <c r="D269" s="71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</row>
    <row r="270" ht="15.75" customHeight="1">
      <c r="A270" s="70"/>
      <c r="B270" s="70"/>
      <c r="C270" s="71"/>
      <c r="D270" s="71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</row>
    <row r="271" ht="15.75" customHeight="1">
      <c r="A271" s="70"/>
      <c r="B271" s="70"/>
      <c r="C271" s="71"/>
      <c r="D271" s="71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</row>
    <row r="272" ht="15.75" customHeight="1">
      <c r="A272" s="70"/>
      <c r="B272" s="70"/>
      <c r="C272" s="71"/>
      <c r="D272" s="71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</row>
    <row r="273" ht="15.75" customHeight="1">
      <c r="A273" s="70"/>
      <c r="B273" s="70"/>
      <c r="C273" s="71"/>
      <c r="D273" s="71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</row>
    <row r="274" ht="15.75" customHeight="1">
      <c r="A274" s="70"/>
      <c r="B274" s="70"/>
      <c r="C274" s="71"/>
      <c r="D274" s="71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</row>
    <row r="275" ht="15.75" customHeight="1">
      <c r="A275" s="70"/>
      <c r="B275" s="70"/>
      <c r="C275" s="71"/>
      <c r="D275" s="71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</row>
    <row r="276" ht="15.75" customHeight="1">
      <c r="A276" s="70"/>
      <c r="B276" s="70"/>
      <c r="C276" s="71"/>
      <c r="D276" s="71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</row>
    <row r="277" ht="15.75" customHeight="1">
      <c r="A277" s="70"/>
      <c r="B277" s="70"/>
      <c r="C277" s="71"/>
      <c r="D277" s="71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  <c r="BN277" s="70"/>
    </row>
    <row r="278" ht="15.75" customHeight="1">
      <c r="A278" s="70"/>
      <c r="B278" s="70"/>
      <c r="C278" s="71"/>
      <c r="D278" s="71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</row>
    <row r="279" ht="15.75" customHeight="1">
      <c r="A279" s="70"/>
      <c r="B279" s="70"/>
      <c r="C279" s="71"/>
      <c r="D279" s="71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  <c r="BN279" s="70"/>
    </row>
    <row r="280" ht="15.75" customHeight="1">
      <c r="A280" s="70"/>
      <c r="B280" s="70"/>
      <c r="C280" s="71"/>
      <c r="D280" s="71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</row>
    <row r="281" ht="15.75" customHeight="1">
      <c r="A281" s="70"/>
      <c r="B281" s="70"/>
      <c r="C281" s="71"/>
      <c r="D281" s="71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</row>
    <row r="282" ht="15.75" customHeight="1">
      <c r="A282" s="70"/>
      <c r="B282" s="70"/>
      <c r="C282" s="71"/>
      <c r="D282" s="71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</row>
    <row r="283" ht="15.75" customHeight="1">
      <c r="A283" s="70"/>
      <c r="B283" s="70"/>
      <c r="C283" s="71"/>
      <c r="D283" s="71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</row>
    <row r="284" ht="15.75" customHeight="1">
      <c r="A284" s="70"/>
      <c r="B284" s="70"/>
      <c r="C284" s="71"/>
      <c r="D284" s="71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</row>
    <row r="285" ht="15.75" customHeight="1">
      <c r="A285" s="70"/>
      <c r="B285" s="70"/>
      <c r="C285" s="71"/>
      <c r="D285" s="71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</row>
    <row r="286" ht="15.75" customHeight="1">
      <c r="A286" s="70"/>
      <c r="B286" s="70"/>
      <c r="C286" s="71"/>
      <c r="D286" s="71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</row>
    <row r="287" ht="15.75" customHeight="1">
      <c r="A287" s="70"/>
      <c r="B287" s="70"/>
      <c r="C287" s="71"/>
      <c r="D287" s="71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</row>
    <row r="288" ht="15.75" customHeight="1">
      <c r="A288" s="70"/>
      <c r="B288" s="70"/>
      <c r="C288" s="71"/>
      <c r="D288" s="71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</row>
    <row r="289" ht="15.75" customHeight="1">
      <c r="A289" s="70"/>
      <c r="B289" s="70"/>
      <c r="C289" s="71"/>
      <c r="D289" s="71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</row>
    <row r="290" ht="15.75" customHeight="1">
      <c r="A290" s="70"/>
      <c r="B290" s="70"/>
      <c r="C290" s="71"/>
      <c r="D290" s="71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</row>
    <row r="291" ht="15.75" customHeight="1">
      <c r="A291" s="70"/>
      <c r="B291" s="70"/>
      <c r="C291" s="71"/>
      <c r="D291" s="71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</row>
    <row r="292" ht="15.75" customHeight="1">
      <c r="A292" s="70"/>
      <c r="B292" s="70"/>
      <c r="C292" s="71"/>
      <c r="D292" s="71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</row>
    <row r="293" ht="15.75" customHeight="1">
      <c r="A293" s="70"/>
      <c r="B293" s="70"/>
      <c r="C293" s="71"/>
      <c r="D293" s="71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</row>
    <row r="294" ht="15.75" customHeight="1">
      <c r="A294" s="70"/>
      <c r="B294" s="70"/>
      <c r="C294" s="71"/>
      <c r="D294" s="71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</row>
    <row r="295" ht="15.75" customHeight="1">
      <c r="A295" s="70"/>
      <c r="B295" s="70"/>
      <c r="C295" s="71"/>
      <c r="D295" s="71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</row>
    <row r="296" ht="15.75" customHeight="1">
      <c r="A296" s="70"/>
      <c r="B296" s="70"/>
      <c r="C296" s="71"/>
      <c r="D296" s="71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</row>
    <row r="297" ht="15.75" customHeight="1">
      <c r="A297" s="70"/>
      <c r="B297" s="70"/>
      <c r="C297" s="71"/>
      <c r="D297" s="71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</row>
    <row r="298" ht="15.75" customHeight="1">
      <c r="A298" s="70"/>
      <c r="B298" s="70"/>
      <c r="C298" s="71"/>
      <c r="D298" s="71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</row>
    <row r="299" ht="15.75" customHeight="1">
      <c r="A299" s="70"/>
      <c r="B299" s="70"/>
      <c r="C299" s="71"/>
      <c r="D299" s="71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</row>
    <row r="300" ht="15.75" customHeight="1">
      <c r="A300" s="70"/>
      <c r="B300" s="70"/>
      <c r="C300" s="71"/>
      <c r="D300" s="71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</row>
    <row r="301" ht="15.75" customHeight="1">
      <c r="A301" s="70"/>
      <c r="B301" s="70"/>
      <c r="C301" s="71"/>
      <c r="D301" s="71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</row>
    <row r="302" ht="15.75" customHeight="1">
      <c r="A302" s="70"/>
      <c r="B302" s="70"/>
      <c r="C302" s="71"/>
      <c r="D302" s="71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</row>
    <row r="303" ht="15.75" customHeight="1">
      <c r="A303" s="70"/>
      <c r="B303" s="70"/>
      <c r="C303" s="71"/>
      <c r="D303" s="71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  <c r="BN303" s="70"/>
    </row>
    <row r="304" ht="15.75" customHeight="1">
      <c r="A304" s="70"/>
      <c r="B304" s="70"/>
      <c r="C304" s="71"/>
      <c r="D304" s="71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</row>
    <row r="305" ht="15.75" customHeight="1">
      <c r="A305" s="70"/>
      <c r="B305" s="70"/>
      <c r="C305" s="71"/>
      <c r="D305" s="71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</row>
    <row r="306" ht="15.75" customHeight="1">
      <c r="A306" s="70"/>
      <c r="B306" s="70"/>
      <c r="C306" s="71"/>
      <c r="D306" s="71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</row>
    <row r="307" ht="15.75" customHeight="1">
      <c r="A307" s="70"/>
      <c r="B307" s="70"/>
      <c r="C307" s="71"/>
      <c r="D307" s="71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</row>
    <row r="308" ht="15.75" customHeight="1">
      <c r="A308" s="70"/>
      <c r="B308" s="70"/>
      <c r="C308" s="71"/>
      <c r="D308" s="71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</row>
    <row r="309" ht="15.75" customHeight="1">
      <c r="A309" s="70"/>
      <c r="B309" s="70"/>
      <c r="C309" s="71"/>
      <c r="D309" s="71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</row>
    <row r="310" ht="15.75" customHeight="1">
      <c r="A310" s="70"/>
      <c r="B310" s="70"/>
      <c r="C310" s="71"/>
      <c r="D310" s="71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</row>
    <row r="311" ht="15.75" customHeight="1">
      <c r="A311" s="70"/>
      <c r="B311" s="70"/>
      <c r="C311" s="71"/>
      <c r="D311" s="71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</row>
    <row r="312" ht="15.75" customHeight="1">
      <c r="A312" s="70"/>
      <c r="B312" s="70"/>
      <c r="C312" s="71"/>
      <c r="D312" s="71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</row>
    <row r="313" ht="15.75" customHeight="1">
      <c r="A313" s="70"/>
      <c r="B313" s="70"/>
      <c r="C313" s="71"/>
      <c r="D313" s="71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</row>
    <row r="314" ht="15.75" customHeight="1">
      <c r="A314" s="70"/>
      <c r="B314" s="70"/>
      <c r="C314" s="71"/>
      <c r="D314" s="71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</row>
    <row r="315" ht="15.75" customHeight="1">
      <c r="A315" s="70"/>
      <c r="B315" s="70"/>
      <c r="C315" s="71"/>
      <c r="D315" s="71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</row>
    <row r="316" ht="15.75" customHeight="1">
      <c r="A316" s="70"/>
      <c r="B316" s="70"/>
      <c r="C316" s="71"/>
      <c r="D316" s="71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</row>
    <row r="317" ht="15.75" customHeight="1">
      <c r="A317" s="70"/>
      <c r="B317" s="70"/>
      <c r="C317" s="71"/>
      <c r="D317" s="71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</row>
    <row r="318" ht="15.75" customHeight="1">
      <c r="A318" s="70"/>
      <c r="B318" s="70"/>
      <c r="C318" s="71"/>
      <c r="D318" s="71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</row>
    <row r="319" ht="15.75" customHeight="1">
      <c r="A319" s="70"/>
      <c r="B319" s="70"/>
      <c r="C319" s="71"/>
      <c r="D319" s="71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</row>
    <row r="320" ht="15.75" customHeight="1">
      <c r="A320" s="70"/>
      <c r="B320" s="70"/>
      <c r="C320" s="71"/>
      <c r="D320" s="71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</row>
    <row r="321" ht="15.75" customHeight="1">
      <c r="A321" s="70"/>
      <c r="B321" s="70"/>
      <c r="C321" s="71"/>
      <c r="D321" s="71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</row>
  </sheetData>
  <mergeCells count="301">
    <mergeCell ref="H65:H68"/>
    <mergeCell ref="I65:I68"/>
    <mergeCell ref="I73:I75"/>
    <mergeCell ref="J73:J75"/>
    <mergeCell ref="K73:K75"/>
    <mergeCell ref="H73:H74"/>
    <mergeCell ref="I86:I87"/>
    <mergeCell ref="J86:J87"/>
    <mergeCell ref="H89:H90"/>
    <mergeCell ref="H86:H87"/>
    <mergeCell ref="J88:J92"/>
    <mergeCell ref="K88:K92"/>
    <mergeCell ref="H63:H64"/>
    <mergeCell ref="I63:I64"/>
    <mergeCell ref="H91:H92"/>
    <mergeCell ref="I88:I92"/>
    <mergeCell ref="J100:J101"/>
    <mergeCell ref="K100:K101"/>
    <mergeCell ref="K86:K87"/>
    <mergeCell ref="N56:N62"/>
    <mergeCell ref="O56:O62"/>
    <mergeCell ref="N63:N64"/>
    <mergeCell ref="O63:O64"/>
    <mergeCell ref="J56:J62"/>
    <mergeCell ref="J63:J64"/>
    <mergeCell ref="K63:K64"/>
    <mergeCell ref="L63:L64"/>
    <mergeCell ref="M63:M64"/>
    <mergeCell ref="H53:H54"/>
    <mergeCell ref="I53:I54"/>
    <mergeCell ref="I56:I62"/>
    <mergeCell ref="K56:K62"/>
    <mergeCell ref="L56:L62"/>
    <mergeCell ref="M56:M62"/>
    <mergeCell ref="H56:H62"/>
    <mergeCell ref="L100:L101"/>
    <mergeCell ref="M100:M101"/>
    <mergeCell ref="N100:N101"/>
    <mergeCell ref="O100:O101"/>
    <mergeCell ref="N103:N104"/>
    <mergeCell ref="O103:O104"/>
    <mergeCell ref="O88:O92"/>
    <mergeCell ref="H100:H101"/>
    <mergeCell ref="I100:I101"/>
    <mergeCell ref="I103:I104"/>
    <mergeCell ref="J103:J104"/>
    <mergeCell ref="K103:K104"/>
    <mergeCell ref="L103:L104"/>
    <mergeCell ref="M103:M104"/>
    <mergeCell ref="H103:H104"/>
    <mergeCell ref="J65:J68"/>
    <mergeCell ref="K65:K68"/>
    <mergeCell ref="L65:L68"/>
    <mergeCell ref="M65:M68"/>
    <mergeCell ref="N65:N68"/>
    <mergeCell ref="O65:O68"/>
    <mergeCell ref="L73:L75"/>
    <mergeCell ref="O73:O75"/>
    <mergeCell ref="BH4:BH5"/>
    <mergeCell ref="BI4:BI5"/>
    <mergeCell ref="BJ4:BJ5"/>
    <mergeCell ref="BK4:BK5"/>
    <mergeCell ref="BL4:BL5"/>
    <mergeCell ref="BM4:BM5"/>
    <mergeCell ref="AX4:AX5"/>
    <mergeCell ref="AY4:AY5"/>
    <mergeCell ref="BN4:BN5"/>
    <mergeCell ref="AZ4:AZ5"/>
    <mergeCell ref="BA4:BA5"/>
    <mergeCell ref="BB4:BB5"/>
    <mergeCell ref="BC4:BC5"/>
    <mergeCell ref="AJ4:AJ5"/>
    <mergeCell ref="AK4:AK5"/>
    <mergeCell ref="AL4:AL5"/>
    <mergeCell ref="AM4:AM5"/>
    <mergeCell ref="AN4:AN5"/>
    <mergeCell ref="AO4:AO5"/>
    <mergeCell ref="AP4:AP5"/>
    <mergeCell ref="AC4:AC5"/>
    <mergeCell ref="AD4:AD5"/>
    <mergeCell ref="AE4:AE5"/>
    <mergeCell ref="AF4:AF5"/>
    <mergeCell ref="AG4:AG5"/>
    <mergeCell ref="AH4:AH5"/>
    <mergeCell ref="AI4:AI5"/>
    <mergeCell ref="T2:BN2"/>
    <mergeCell ref="T3:AD3"/>
    <mergeCell ref="AE3:AJ3"/>
    <mergeCell ref="AK3:BN3"/>
    <mergeCell ref="A1:BN1"/>
    <mergeCell ref="P2:S3"/>
    <mergeCell ref="AQ4:AQ5"/>
    <mergeCell ref="AR4:AR5"/>
    <mergeCell ref="AS4:AS5"/>
    <mergeCell ref="AT4:AT5"/>
    <mergeCell ref="AU4:AU5"/>
    <mergeCell ref="AV4:AV5"/>
    <mergeCell ref="AW4:AW5"/>
    <mergeCell ref="BD4:BD5"/>
    <mergeCell ref="BE4:BE5"/>
    <mergeCell ref="BF4:BF5"/>
    <mergeCell ref="BG4:BG5"/>
    <mergeCell ref="J2:J5"/>
    <mergeCell ref="K2:K5"/>
    <mergeCell ref="L2:L5"/>
    <mergeCell ref="M2:M5"/>
    <mergeCell ref="N2:N5"/>
    <mergeCell ref="O2:O5"/>
    <mergeCell ref="T4:T5"/>
    <mergeCell ref="U4:U5"/>
    <mergeCell ref="V4:V5"/>
    <mergeCell ref="W4:W5"/>
    <mergeCell ref="G2:G5"/>
    <mergeCell ref="H2:H5"/>
    <mergeCell ref="A2:A5"/>
    <mergeCell ref="B2:B5"/>
    <mergeCell ref="C2:C5"/>
    <mergeCell ref="D2:D5"/>
    <mergeCell ref="E2:E5"/>
    <mergeCell ref="F2:F5"/>
    <mergeCell ref="I2:I5"/>
    <mergeCell ref="L13:L14"/>
    <mergeCell ref="M13:M14"/>
    <mergeCell ref="H13:H14"/>
    <mergeCell ref="I13:I14"/>
    <mergeCell ref="J15:J17"/>
    <mergeCell ref="K15:K17"/>
    <mergeCell ref="L15:L17"/>
    <mergeCell ref="M15:M17"/>
    <mergeCell ref="J44:J46"/>
    <mergeCell ref="J53:J54"/>
    <mergeCell ref="K53:K54"/>
    <mergeCell ref="L53:L54"/>
    <mergeCell ref="M53:M54"/>
    <mergeCell ref="N53:N54"/>
    <mergeCell ref="O53:O54"/>
    <mergeCell ref="J21:J22"/>
    <mergeCell ref="K21:K22"/>
    <mergeCell ref="H21:H22"/>
    <mergeCell ref="I21:I22"/>
    <mergeCell ref="L21:L22"/>
    <mergeCell ref="M21:M22"/>
    <mergeCell ref="A8:A10"/>
    <mergeCell ref="B8:B10"/>
    <mergeCell ref="C8:C10"/>
    <mergeCell ref="D8:D10"/>
    <mergeCell ref="E8:E10"/>
    <mergeCell ref="D13:D14"/>
    <mergeCell ref="E13:E14"/>
    <mergeCell ref="A15:A17"/>
    <mergeCell ref="B15:B17"/>
    <mergeCell ref="C15:C17"/>
    <mergeCell ref="D15:D17"/>
    <mergeCell ref="E15:E17"/>
    <mergeCell ref="J30:J36"/>
    <mergeCell ref="K30:K36"/>
    <mergeCell ref="L30:L36"/>
    <mergeCell ref="M30:M36"/>
    <mergeCell ref="N30:N36"/>
    <mergeCell ref="O30:O36"/>
    <mergeCell ref="G30:G35"/>
    <mergeCell ref="N37:N43"/>
    <mergeCell ref="O37:O43"/>
    <mergeCell ref="N15:N17"/>
    <mergeCell ref="O15:O17"/>
    <mergeCell ref="N21:N22"/>
    <mergeCell ref="O21:O22"/>
    <mergeCell ref="N11:N12"/>
    <mergeCell ref="O11:O12"/>
    <mergeCell ref="A11:A12"/>
    <mergeCell ref="B11:B12"/>
    <mergeCell ref="C11:C12"/>
    <mergeCell ref="D11:D12"/>
    <mergeCell ref="E11:E12"/>
    <mergeCell ref="J13:J14"/>
    <mergeCell ref="K13:K14"/>
    <mergeCell ref="N13:N14"/>
    <mergeCell ref="O13:O14"/>
    <mergeCell ref="A13:A14"/>
    <mergeCell ref="B13:B14"/>
    <mergeCell ref="C13:C14"/>
    <mergeCell ref="A37:A43"/>
    <mergeCell ref="A44:A46"/>
    <mergeCell ref="B44:B46"/>
    <mergeCell ref="C44:C46"/>
    <mergeCell ref="D44:D46"/>
    <mergeCell ref="E44:E46"/>
    <mergeCell ref="G44:G46"/>
    <mergeCell ref="N8:N10"/>
    <mergeCell ref="O8:O10"/>
    <mergeCell ref="A21:A22"/>
    <mergeCell ref="B21:B22"/>
    <mergeCell ref="C21:C22"/>
    <mergeCell ref="D21:D22"/>
    <mergeCell ref="E21:E22"/>
    <mergeCell ref="I30:I36"/>
    <mergeCell ref="H30:H36"/>
    <mergeCell ref="I37:I43"/>
    <mergeCell ref="J37:J43"/>
    <mergeCell ref="K37:K43"/>
    <mergeCell ref="L37:L43"/>
    <mergeCell ref="M37:M43"/>
    <mergeCell ref="H44:H46"/>
    <mergeCell ref="I44:I46"/>
    <mergeCell ref="K44:K46"/>
    <mergeCell ref="L44:L46"/>
    <mergeCell ref="M44:M46"/>
    <mergeCell ref="N44:N46"/>
    <mergeCell ref="O44:O46"/>
    <mergeCell ref="D103:D104"/>
    <mergeCell ref="E103:E104"/>
    <mergeCell ref="A88:A92"/>
    <mergeCell ref="A100:A101"/>
    <mergeCell ref="B100:B101"/>
    <mergeCell ref="C100:C101"/>
    <mergeCell ref="D100:D101"/>
    <mergeCell ref="E100:E101"/>
    <mergeCell ref="A103:A104"/>
    <mergeCell ref="E56:E62"/>
    <mergeCell ref="G56:G62"/>
    <mergeCell ref="C73:C75"/>
    <mergeCell ref="D73:D75"/>
    <mergeCell ref="E73:E75"/>
    <mergeCell ref="G73:G75"/>
    <mergeCell ref="C86:C87"/>
    <mergeCell ref="D86:D87"/>
    <mergeCell ref="G88:G92"/>
    <mergeCell ref="G86:G87"/>
    <mergeCell ref="C56:C62"/>
    <mergeCell ref="D56:D62"/>
    <mergeCell ref="C88:C92"/>
    <mergeCell ref="D88:D92"/>
    <mergeCell ref="E88:E92"/>
    <mergeCell ref="E65:E68"/>
    <mergeCell ref="E86:E87"/>
    <mergeCell ref="D37:D43"/>
    <mergeCell ref="E37:E43"/>
    <mergeCell ref="G37:G43"/>
    <mergeCell ref="A30:A36"/>
    <mergeCell ref="B30:B36"/>
    <mergeCell ref="C30:C36"/>
    <mergeCell ref="D30:D36"/>
    <mergeCell ref="E30:E36"/>
    <mergeCell ref="B37:B43"/>
    <mergeCell ref="C37:C43"/>
    <mergeCell ref="A53:A54"/>
    <mergeCell ref="B53:B54"/>
    <mergeCell ref="C53:C54"/>
    <mergeCell ref="D53:D54"/>
    <mergeCell ref="E53:E54"/>
    <mergeCell ref="A56:A62"/>
    <mergeCell ref="B56:B62"/>
    <mergeCell ref="B103:B104"/>
    <mergeCell ref="C103:C104"/>
    <mergeCell ref="G103:G104"/>
    <mergeCell ref="C65:C68"/>
    <mergeCell ref="D65:D68"/>
    <mergeCell ref="A63:A64"/>
    <mergeCell ref="B63:B64"/>
    <mergeCell ref="C63:C64"/>
    <mergeCell ref="D63:D64"/>
    <mergeCell ref="E63:E64"/>
    <mergeCell ref="A65:A68"/>
    <mergeCell ref="B65:B68"/>
    <mergeCell ref="A73:A75"/>
    <mergeCell ref="B88:B92"/>
    <mergeCell ref="B73:B75"/>
    <mergeCell ref="A86:A87"/>
    <mergeCell ref="B86:B87"/>
    <mergeCell ref="M88:M92"/>
    <mergeCell ref="N88:N92"/>
    <mergeCell ref="M73:M75"/>
    <mergeCell ref="N73:N75"/>
    <mergeCell ref="L86:L87"/>
    <mergeCell ref="M86:M87"/>
    <mergeCell ref="N86:N87"/>
    <mergeCell ref="O86:O87"/>
    <mergeCell ref="L88:L92"/>
    <mergeCell ref="G8:G10"/>
    <mergeCell ref="H8:H10"/>
    <mergeCell ref="I8:I10"/>
    <mergeCell ref="J8:J10"/>
    <mergeCell ref="K8:K10"/>
    <mergeCell ref="L8:L10"/>
    <mergeCell ref="G11:G12"/>
    <mergeCell ref="H11:H12"/>
    <mergeCell ref="X4:X5"/>
    <mergeCell ref="Y4:Y5"/>
    <mergeCell ref="Z4:Z5"/>
    <mergeCell ref="AA4:AA5"/>
    <mergeCell ref="AB4:AB5"/>
    <mergeCell ref="M8:M10"/>
    <mergeCell ref="H15:H16"/>
    <mergeCell ref="I15:I17"/>
    <mergeCell ref="H37:H41"/>
    <mergeCell ref="H42:H43"/>
    <mergeCell ref="I11:I12"/>
    <mergeCell ref="J11:J12"/>
    <mergeCell ref="K11:K12"/>
    <mergeCell ref="L11:L12"/>
    <mergeCell ref="M11:M12"/>
  </mergeCells>
  <conditionalFormatting sqref="C1:C116 C124:C321">
    <cfRule type="notContainsBlanks" dxfId="0" priority="1">
      <formula>LEN(TRIM(C1))&gt;0</formula>
    </cfRule>
  </conditionalFormatting>
  <hyperlinks>
    <hyperlink r:id="rId1" ref="AT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57"/>
    <col customWidth="1" min="2" max="2" width="10.71"/>
    <col customWidth="1" min="3" max="3" width="28.71"/>
    <col customWidth="1" min="4" max="4" width="6.86"/>
    <col customWidth="1" min="5" max="5" width="18.86"/>
    <col customWidth="1" min="6" max="6" width="7.86"/>
    <col customWidth="1" min="7" max="7" width="6.43"/>
    <col customWidth="1" min="8" max="8" width="37.71"/>
    <col customWidth="1" min="9" max="9" width="26.29"/>
    <col customWidth="1" min="10" max="10" width="35.0"/>
    <col customWidth="1" min="11" max="11" width="9.71"/>
    <col customWidth="1" hidden="1" min="12" max="12" width="107.0"/>
    <col customWidth="1" hidden="1" min="13" max="13" width="69.43"/>
  </cols>
  <sheetData>
    <row r="1" ht="15.75" customHeight="1">
      <c r="A1" s="72" t="s">
        <v>403</v>
      </c>
      <c r="B1" s="72" t="s">
        <v>404</v>
      </c>
      <c r="C1" s="72" t="s">
        <v>405</v>
      </c>
      <c r="D1" s="72" t="s">
        <v>406</v>
      </c>
      <c r="E1" s="72" t="s">
        <v>407</v>
      </c>
      <c r="F1" s="72" t="s">
        <v>408</v>
      </c>
      <c r="G1" s="72" t="s">
        <v>409</v>
      </c>
      <c r="H1" s="72" t="s">
        <v>410</v>
      </c>
      <c r="I1" s="72" t="s">
        <v>411</v>
      </c>
      <c r="J1" s="72" t="s">
        <v>412</v>
      </c>
      <c r="K1" s="72" t="s">
        <v>413</v>
      </c>
      <c r="L1" s="73" t="s">
        <v>414</v>
      </c>
      <c r="M1" s="73" t="s">
        <v>415</v>
      </c>
    </row>
    <row r="2" ht="17.25" customHeight="1">
      <c r="A2" s="74">
        <v>1.0</v>
      </c>
      <c r="B2" s="74" t="s">
        <v>416</v>
      </c>
      <c r="C2" s="75" t="s">
        <v>417</v>
      </c>
      <c r="D2" s="74" t="s">
        <v>418</v>
      </c>
      <c r="E2" s="74" t="s">
        <v>419</v>
      </c>
      <c r="F2" s="74" t="s">
        <v>420</v>
      </c>
      <c r="G2" s="74" t="s">
        <v>18</v>
      </c>
      <c r="H2" s="76" t="s">
        <v>421</v>
      </c>
      <c r="I2" s="77"/>
      <c r="J2" s="78" t="s">
        <v>422</v>
      </c>
      <c r="K2" s="74">
        <v>7.37588664E9</v>
      </c>
      <c r="L2" s="74"/>
      <c r="M2" s="74"/>
    </row>
    <row r="3" ht="17.25" customHeight="1">
      <c r="A3" s="74">
        <v>2.0</v>
      </c>
      <c r="B3" s="74" t="s">
        <v>423</v>
      </c>
      <c r="C3" s="75" t="s">
        <v>424</v>
      </c>
      <c r="D3" s="74" t="s">
        <v>418</v>
      </c>
      <c r="E3" s="74" t="s">
        <v>425</v>
      </c>
      <c r="F3" s="74" t="s">
        <v>426</v>
      </c>
      <c r="G3" s="74" t="s">
        <v>18</v>
      </c>
      <c r="H3" s="76" t="s">
        <v>421</v>
      </c>
      <c r="I3" s="77"/>
      <c r="J3" s="78" t="s">
        <v>427</v>
      </c>
      <c r="K3" s="74">
        <v>7.231011836E9</v>
      </c>
      <c r="L3" s="74"/>
      <c r="M3" s="74"/>
    </row>
    <row r="4" ht="17.25" customHeight="1">
      <c r="A4" s="74">
        <v>3.0</v>
      </c>
      <c r="B4" s="74" t="s">
        <v>428</v>
      </c>
      <c r="C4" s="75" t="s">
        <v>429</v>
      </c>
      <c r="D4" s="74" t="s">
        <v>430</v>
      </c>
      <c r="E4" s="74" t="s">
        <v>425</v>
      </c>
      <c r="F4" s="74" t="s">
        <v>431</v>
      </c>
      <c r="G4" s="74" t="s">
        <v>19</v>
      </c>
      <c r="H4" s="76" t="s">
        <v>421</v>
      </c>
      <c r="I4" s="77"/>
      <c r="J4" s="78" t="s">
        <v>432</v>
      </c>
      <c r="K4" s="74">
        <v>9.602351624E9</v>
      </c>
      <c r="L4" s="74"/>
      <c r="M4" s="74"/>
    </row>
    <row r="5" ht="17.25" customHeight="1">
      <c r="A5" s="74">
        <v>4.0</v>
      </c>
      <c r="B5" s="74" t="s">
        <v>433</v>
      </c>
      <c r="C5" s="75" t="s">
        <v>434</v>
      </c>
      <c r="D5" s="74" t="s">
        <v>418</v>
      </c>
      <c r="E5" s="74" t="s">
        <v>419</v>
      </c>
      <c r="F5" s="74" t="s">
        <v>420</v>
      </c>
      <c r="G5" s="74" t="s">
        <v>18</v>
      </c>
      <c r="H5" s="76" t="s">
        <v>421</v>
      </c>
      <c r="I5" s="77"/>
      <c r="J5" s="78" t="s">
        <v>435</v>
      </c>
      <c r="K5" s="74">
        <v>9.782176005E9</v>
      </c>
      <c r="L5" s="74"/>
      <c r="M5" s="74"/>
    </row>
    <row r="6" ht="17.25" customHeight="1">
      <c r="A6" s="74">
        <v>5.0</v>
      </c>
      <c r="B6" s="74" t="s">
        <v>436</v>
      </c>
      <c r="C6" s="75" t="s">
        <v>437</v>
      </c>
      <c r="D6" s="74" t="s">
        <v>418</v>
      </c>
      <c r="E6" s="74" t="s">
        <v>438</v>
      </c>
      <c r="F6" s="74" t="s">
        <v>431</v>
      </c>
      <c r="G6" s="74" t="s">
        <v>18</v>
      </c>
      <c r="H6" s="76" t="s">
        <v>421</v>
      </c>
      <c r="I6" s="77"/>
      <c r="J6" s="78" t="s">
        <v>439</v>
      </c>
      <c r="K6" s="74">
        <v>8.078618395E9</v>
      </c>
      <c r="L6" s="74"/>
      <c r="M6" s="74"/>
    </row>
    <row r="7" ht="17.25" customHeight="1">
      <c r="A7" s="74">
        <v>6.0</v>
      </c>
      <c r="B7" s="74" t="s">
        <v>440</v>
      </c>
      <c r="C7" s="75" t="s">
        <v>441</v>
      </c>
      <c r="D7" s="74" t="s">
        <v>430</v>
      </c>
      <c r="E7" s="74" t="s">
        <v>442</v>
      </c>
      <c r="F7" s="74" t="s">
        <v>443</v>
      </c>
      <c r="G7" s="74" t="s">
        <v>18</v>
      </c>
      <c r="H7" s="76" t="s">
        <v>444</v>
      </c>
      <c r="I7" s="77"/>
      <c r="J7" s="78" t="s">
        <v>445</v>
      </c>
      <c r="K7" s="74">
        <v>9.636723664E9</v>
      </c>
      <c r="L7" s="74"/>
      <c r="M7" s="74"/>
    </row>
    <row r="8" ht="17.25" customHeight="1">
      <c r="A8" s="74">
        <v>7.0</v>
      </c>
      <c r="B8" s="74" t="s">
        <v>446</v>
      </c>
      <c r="C8" s="75" t="s">
        <v>447</v>
      </c>
      <c r="D8" s="74" t="s">
        <v>418</v>
      </c>
      <c r="E8" s="74" t="s">
        <v>425</v>
      </c>
      <c r="F8" s="74" t="s">
        <v>448</v>
      </c>
      <c r="G8" s="74" t="s">
        <v>18</v>
      </c>
      <c r="H8" s="76" t="s">
        <v>449</v>
      </c>
      <c r="I8" s="77"/>
      <c r="J8" s="78" t="s">
        <v>450</v>
      </c>
      <c r="K8" s="74">
        <v>9.057157661E9</v>
      </c>
      <c r="L8" s="79" t="s">
        <v>451</v>
      </c>
      <c r="M8" s="79" t="s">
        <v>452</v>
      </c>
    </row>
    <row r="9" ht="17.25" customHeight="1">
      <c r="A9" s="74">
        <v>8.0</v>
      </c>
      <c r="B9" s="74" t="s">
        <v>453</v>
      </c>
      <c r="C9" s="75" t="s">
        <v>454</v>
      </c>
      <c r="D9" s="74" t="s">
        <v>418</v>
      </c>
      <c r="E9" s="74" t="s">
        <v>425</v>
      </c>
      <c r="F9" s="74" t="s">
        <v>431</v>
      </c>
      <c r="G9" s="74" t="s">
        <v>19</v>
      </c>
      <c r="H9" s="76" t="s">
        <v>449</v>
      </c>
      <c r="I9" s="77"/>
      <c r="J9" s="78" t="s">
        <v>455</v>
      </c>
      <c r="K9" s="74">
        <v>9.214798051E9</v>
      </c>
      <c r="L9" s="79" t="s">
        <v>456</v>
      </c>
      <c r="M9" s="79" t="s">
        <v>457</v>
      </c>
    </row>
    <row r="10" ht="17.25" customHeight="1">
      <c r="A10" s="74">
        <v>9.0</v>
      </c>
      <c r="B10" s="74" t="s">
        <v>458</v>
      </c>
      <c r="C10" s="75" t="s">
        <v>459</v>
      </c>
      <c r="D10" s="74" t="s">
        <v>430</v>
      </c>
      <c r="E10" s="74" t="s">
        <v>425</v>
      </c>
      <c r="F10" s="74" t="s">
        <v>460</v>
      </c>
      <c r="G10" s="74" t="s">
        <v>18</v>
      </c>
      <c r="H10" s="76" t="s">
        <v>110</v>
      </c>
      <c r="I10" s="77"/>
      <c r="J10" s="78" t="s">
        <v>461</v>
      </c>
      <c r="K10" s="74">
        <v>8.957013724E9</v>
      </c>
      <c r="L10" s="74"/>
      <c r="M10" s="74"/>
    </row>
    <row r="11" ht="17.25" customHeight="1">
      <c r="A11" s="74">
        <v>10.0</v>
      </c>
      <c r="B11" s="74" t="s">
        <v>462</v>
      </c>
      <c r="C11" s="75" t="s">
        <v>463</v>
      </c>
      <c r="D11" s="74" t="s">
        <v>418</v>
      </c>
      <c r="E11" s="74" t="s">
        <v>464</v>
      </c>
      <c r="F11" s="74" t="s">
        <v>465</v>
      </c>
      <c r="G11" s="74" t="s">
        <v>18</v>
      </c>
      <c r="H11" s="76" t="s">
        <v>110</v>
      </c>
      <c r="I11" s="77"/>
      <c r="J11" s="78" t="s">
        <v>466</v>
      </c>
      <c r="K11" s="74">
        <v>9.667623745E9</v>
      </c>
      <c r="L11" s="74"/>
      <c r="M11" s="74"/>
    </row>
    <row r="12" ht="17.25" customHeight="1">
      <c r="A12" s="74">
        <v>11.0</v>
      </c>
      <c r="B12" s="74" t="s">
        <v>467</v>
      </c>
      <c r="C12" s="75" t="s">
        <v>468</v>
      </c>
      <c r="D12" s="74" t="s">
        <v>469</v>
      </c>
      <c r="E12" s="74" t="s">
        <v>50</v>
      </c>
      <c r="F12" s="74"/>
      <c r="G12" s="74" t="s">
        <v>20</v>
      </c>
      <c r="H12" s="76" t="s">
        <v>110</v>
      </c>
      <c r="I12" s="77"/>
      <c r="J12" s="78" t="s">
        <v>470</v>
      </c>
      <c r="K12" s="74">
        <v>7.976908642E9</v>
      </c>
      <c r="L12" s="74"/>
      <c r="M12" s="74"/>
    </row>
    <row r="13" ht="17.25" customHeight="1">
      <c r="A13" s="74">
        <v>12.0</v>
      </c>
      <c r="B13" s="74" t="s">
        <v>471</v>
      </c>
      <c r="C13" s="75" t="s">
        <v>472</v>
      </c>
      <c r="D13" s="74" t="s">
        <v>469</v>
      </c>
      <c r="E13" s="74" t="s">
        <v>50</v>
      </c>
      <c r="F13" s="74"/>
      <c r="G13" s="74" t="s">
        <v>20</v>
      </c>
      <c r="H13" s="76" t="s">
        <v>110</v>
      </c>
      <c r="I13" s="77"/>
      <c r="J13" s="78" t="s">
        <v>473</v>
      </c>
      <c r="K13" s="74">
        <v>7.727936371E9</v>
      </c>
      <c r="L13" s="74"/>
      <c r="M13" s="74"/>
    </row>
    <row r="14" ht="17.25" customHeight="1">
      <c r="A14" s="74">
        <v>13.0</v>
      </c>
      <c r="B14" s="74" t="s">
        <v>474</v>
      </c>
      <c r="C14" s="75" t="s">
        <v>475</v>
      </c>
      <c r="D14" s="74" t="s">
        <v>418</v>
      </c>
      <c r="E14" s="74" t="s">
        <v>425</v>
      </c>
      <c r="F14" s="74" t="s">
        <v>476</v>
      </c>
      <c r="G14" s="74" t="s">
        <v>18</v>
      </c>
      <c r="H14" s="76" t="s">
        <v>477</v>
      </c>
      <c r="I14" s="77"/>
      <c r="J14" s="78" t="s">
        <v>478</v>
      </c>
      <c r="K14" s="74">
        <v>8.696326472E9</v>
      </c>
      <c r="L14" s="79" t="s">
        <v>479</v>
      </c>
      <c r="M14" s="79" t="s">
        <v>480</v>
      </c>
    </row>
    <row r="15" ht="17.25" customHeight="1">
      <c r="A15" s="74">
        <v>14.0</v>
      </c>
      <c r="B15" s="74" t="s">
        <v>481</v>
      </c>
      <c r="C15" s="75" t="s">
        <v>482</v>
      </c>
      <c r="D15" s="74" t="s">
        <v>418</v>
      </c>
      <c r="E15" s="74" t="s">
        <v>425</v>
      </c>
      <c r="F15" s="74" t="s">
        <v>483</v>
      </c>
      <c r="G15" s="74" t="s">
        <v>18</v>
      </c>
      <c r="H15" s="76" t="s">
        <v>477</v>
      </c>
      <c r="I15" s="77"/>
      <c r="J15" s="78" t="s">
        <v>484</v>
      </c>
      <c r="K15" s="74">
        <v>7.878915195E9</v>
      </c>
      <c r="L15" s="79" t="s">
        <v>485</v>
      </c>
      <c r="M15" s="79" t="s">
        <v>486</v>
      </c>
    </row>
    <row r="16" ht="17.25" customHeight="1">
      <c r="A16" s="74">
        <v>15.0</v>
      </c>
      <c r="B16" s="74" t="s">
        <v>487</v>
      </c>
      <c r="C16" s="75" t="s">
        <v>488</v>
      </c>
      <c r="D16" s="74" t="s">
        <v>418</v>
      </c>
      <c r="E16" s="74" t="s">
        <v>464</v>
      </c>
      <c r="F16" s="74" t="s">
        <v>489</v>
      </c>
      <c r="G16" s="74" t="s">
        <v>18</v>
      </c>
      <c r="H16" s="76" t="s">
        <v>490</v>
      </c>
      <c r="I16" s="77"/>
      <c r="J16" s="78" t="s">
        <v>491</v>
      </c>
      <c r="K16" s="74">
        <v>9.511581943E9</v>
      </c>
      <c r="L16" s="79" t="s">
        <v>492</v>
      </c>
      <c r="M16" s="79" t="s">
        <v>493</v>
      </c>
    </row>
    <row r="17" ht="17.25" customHeight="1">
      <c r="A17" s="74">
        <v>16.0</v>
      </c>
      <c r="B17" s="74" t="s">
        <v>494</v>
      </c>
      <c r="C17" s="75" t="s">
        <v>495</v>
      </c>
      <c r="D17" s="74" t="s">
        <v>430</v>
      </c>
      <c r="E17" s="74" t="s">
        <v>425</v>
      </c>
      <c r="F17" s="74" t="s">
        <v>426</v>
      </c>
      <c r="G17" s="74" t="s">
        <v>18</v>
      </c>
      <c r="H17" s="76" t="s">
        <v>490</v>
      </c>
      <c r="I17" s="77"/>
      <c r="J17" s="78" t="s">
        <v>496</v>
      </c>
      <c r="K17" s="74">
        <v>8.955387068E9</v>
      </c>
      <c r="L17" s="79" t="s">
        <v>497</v>
      </c>
      <c r="M17" s="79" t="s">
        <v>498</v>
      </c>
    </row>
    <row r="18" ht="17.25" customHeight="1">
      <c r="A18" s="74">
        <v>17.0</v>
      </c>
      <c r="B18" s="74" t="s">
        <v>499</v>
      </c>
      <c r="C18" s="75" t="s">
        <v>500</v>
      </c>
      <c r="D18" s="74" t="s">
        <v>418</v>
      </c>
      <c r="E18" s="74" t="s">
        <v>501</v>
      </c>
      <c r="F18" s="74" t="s">
        <v>502</v>
      </c>
      <c r="G18" s="74" t="s">
        <v>19</v>
      </c>
      <c r="H18" s="76" t="s">
        <v>490</v>
      </c>
      <c r="I18" s="77"/>
      <c r="J18" s="78" t="s">
        <v>503</v>
      </c>
      <c r="K18" s="74">
        <v>8.90512705E9</v>
      </c>
      <c r="L18" s="79" t="s">
        <v>504</v>
      </c>
      <c r="M18" s="79" t="s">
        <v>505</v>
      </c>
    </row>
    <row r="19" ht="17.25" customHeight="1">
      <c r="A19" s="74">
        <v>18.0</v>
      </c>
      <c r="B19" s="74" t="s">
        <v>506</v>
      </c>
      <c r="C19" s="75" t="s">
        <v>507</v>
      </c>
      <c r="D19" s="74" t="s">
        <v>469</v>
      </c>
      <c r="E19" s="74" t="s">
        <v>425</v>
      </c>
      <c r="F19" s="74"/>
      <c r="G19" s="74" t="s">
        <v>20</v>
      </c>
      <c r="H19" s="76" t="s">
        <v>490</v>
      </c>
      <c r="I19" s="77"/>
      <c r="J19" s="78" t="s">
        <v>508</v>
      </c>
      <c r="K19" s="74">
        <v>8.20957976E9</v>
      </c>
      <c r="L19" s="79" t="s">
        <v>509</v>
      </c>
      <c r="M19" s="79" t="s">
        <v>510</v>
      </c>
    </row>
    <row r="20" ht="17.25" customHeight="1">
      <c r="A20" s="74">
        <v>19.0</v>
      </c>
      <c r="B20" s="74" t="s">
        <v>511</v>
      </c>
      <c r="C20" s="75" t="s">
        <v>512</v>
      </c>
      <c r="D20" s="74" t="s">
        <v>513</v>
      </c>
      <c r="E20" s="74" t="s">
        <v>425</v>
      </c>
      <c r="F20" s="74"/>
      <c r="G20" s="74" t="s">
        <v>20</v>
      </c>
      <c r="H20" s="76" t="s">
        <v>490</v>
      </c>
      <c r="I20" s="77"/>
      <c r="J20" s="78" t="s">
        <v>514</v>
      </c>
      <c r="K20" s="74">
        <v>9.685533548E9</v>
      </c>
      <c r="L20" s="79" t="s">
        <v>515</v>
      </c>
      <c r="M20" s="79" t="s">
        <v>516</v>
      </c>
    </row>
    <row r="21" ht="17.25" customHeight="1">
      <c r="A21" s="74">
        <v>20.0</v>
      </c>
      <c r="B21" s="74" t="s">
        <v>517</v>
      </c>
      <c r="C21" s="75" t="s">
        <v>518</v>
      </c>
      <c r="D21" s="74" t="s">
        <v>513</v>
      </c>
      <c r="E21" s="74" t="s">
        <v>425</v>
      </c>
      <c r="F21" s="74"/>
      <c r="G21" s="74" t="s">
        <v>20</v>
      </c>
      <c r="H21" s="76" t="s">
        <v>490</v>
      </c>
      <c r="I21" s="77"/>
      <c r="J21" s="78" t="s">
        <v>519</v>
      </c>
      <c r="K21" s="74">
        <v>6.377662711E9</v>
      </c>
      <c r="L21" s="79" t="s">
        <v>520</v>
      </c>
      <c r="M21" s="79" t="s">
        <v>521</v>
      </c>
    </row>
    <row r="22" ht="17.25" customHeight="1">
      <c r="A22" s="74">
        <v>21.0</v>
      </c>
      <c r="B22" s="74" t="s">
        <v>522</v>
      </c>
      <c r="C22" s="75" t="s">
        <v>523</v>
      </c>
      <c r="D22" s="74" t="s">
        <v>418</v>
      </c>
      <c r="E22" s="74" t="s">
        <v>524</v>
      </c>
      <c r="F22" s="74" t="s">
        <v>525</v>
      </c>
      <c r="G22" s="74" t="s">
        <v>18</v>
      </c>
      <c r="H22" s="76" t="s">
        <v>490</v>
      </c>
      <c r="I22" s="77"/>
      <c r="J22" s="78" t="s">
        <v>526</v>
      </c>
      <c r="K22" s="74">
        <v>8.005920863E9</v>
      </c>
      <c r="L22" s="79" t="s">
        <v>527</v>
      </c>
      <c r="M22" s="79" t="s">
        <v>528</v>
      </c>
    </row>
    <row r="23" ht="17.25" customHeight="1">
      <c r="A23" s="74">
        <v>22.0</v>
      </c>
      <c r="B23" s="74" t="s">
        <v>529</v>
      </c>
      <c r="C23" s="75" t="s">
        <v>530</v>
      </c>
      <c r="D23" s="74" t="s">
        <v>430</v>
      </c>
      <c r="E23" s="74" t="s">
        <v>425</v>
      </c>
      <c r="F23" s="74" t="s">
        <v>531</v>
      </c>
      <c r="G23" s="74" t="s">
        <v>18</v>
      </c>
      <c r="H23" s="76" t="s">
        <v>532</v>
      </c>
      <c r="I23" s="77"/>
      <c r="J23" s="78" t="s">
        <v>533</v>
      </c>
      <c r="K23" s="74">
        <v>8.69014849E9</v>
      </c>
      <c r="L23" s="79" t="s">
        <v>534</v>
      </c>
      <c r="M23" s="79" t="s">
        <v>535</v>
      </c>
    </row>
    <row r="24" ht="17.25" customHeight="1">
      <c r="A24" s="74">
        <v>23.0</v>
      </c>
      <c r="B24" s="74" t="s">
        <v>536</v>
      </c>
      <c r="C24" s="75" t="s">
        <v>537</v>
      </c>
      <c r="D24" s="74" t="s">
        <v>418</v>
      </c>
      <c r="E24" s="74" t="s">
        <v>419</v>
      </c>
      <c r="F24" s="74" t="s">
        <v>431</v>
      </c>
      <c r="G24" s="74" t="s">
        <v>18</v>
      </c>
      <c r="H24" s="76" t="s">
        <v>532</v>
      </c>
      <c r="I24" s="77"/>
      <c r="J24" s="78" t="s">
        <v>538</v>
      </c>
      <c r="K24" s="74">
        <v>8.619132596E9</v>
      </c>
      <c r="L24" s="79" t="s">
        <v>539</v>
      </c>
      <c r="M24" s="79" t="s">
        <v>540</v>
      </c>
    </row>
    <row r="25" ht="17.25" customHeight="1">
      <c r="A25" s="74">
        <v>24.0</v>
      </c>
      <c r="B25" s="74" t="s">
        <v>541</v>
      </c>
      <c r="C25" s="75" t="s">
        <v>542</v>
      </c>
      <c r="D25" s="74" t="s">
        <v>418</v>
      </c>
      <c r="E25" s="74" t="s">
        <v>419</v>
      </c>
      <c r="F25" s="74" t="s">
        <v>431</v>
      </c>
      <c r="G25" s="74" t="s">
        <v>18</v>
      </c>
      <c r="H25" s="76" t="s">
        <v>532</v>
      </c>
      <c r="I25" s="77"/>
      <c r="J25" s="78" t="s">
        <v>543</v>
      </c>
      <c r="K25" s="74">
        <v>9.352851985E9</v>
      </c>
      <c r="L25" s="79" t="s">
        <v>544</v>
      </c>
      <c r="M25" s="79" t="s">
        <v>545</v>
      </c>
    </row>
    <row r="26" ht="17.25" customHeight="1">
      <c r="A26" s="74">
        <v>25.0</v>
      </c>
      <c r="B26" s="74" t="s">
        <v>546</v>
      </c>
      <c r="C26" s="75" t="s">
        <v>547</v>
      </c>
      <c r="D26" s="74" t="s">
        <v>430</v>
      </c>
      <c r="E26" s="74" t="s">
        <v>524</v>
      </c>
      <c r="F26" s="74" t="s">
        <v>431</v>
      </c>
      <c r="G26" s="74" t="s">
        <v>18</v>
      </c>
      <c r="H26" s="76" t="s">
        <v>532</v>
      </c>
      <c r="I26" s="77"/>
      <c r="J26" s="78" t="s">
        <v>548</v>
      </c>
      <c r="K26" s="74">
        <v>9.785680939E9</v>
      </c>
      <c r="L26" s="79" t="s">
        <v>549</v>
      </c>
      <c r="M26" s="79" t="s">
        <v>550</v>
      </c>
    </row>
    <row r="27" ht="17.25" customHeight="1">
      <c r="A27" s="74">
        <v>26.0</v>
      </c>
      <c r="B27" s="74" t="s">
        <v>551</v>
      </c>
      <c r="C27" s="75" t="s">
        <v>552</v>
      </c>
      <c r="D27" s="74" t="s">
        <v>418</v>
      </c>
      <c r="E27" s="74" t="s">
        <v>553</v>
      </c>
      <c r="F27" s="74" t="s">
        <v>431</v>
      </c>
      <c r="G27" s="74" t="s">
        <v>18</v>
      </c>
      <c r="H27" s="76" t="s">
        <v>532</v>
      </c>
      <c r="I27" s="77"/>
      <c r="J27" s="78" t="s">
        <v>554</v>
      </c>
      <c r="K27" s="74">
        <v>8.102221583E9</v>
      </c>
      <c r="L27" s="79" t="s">
        <v>555</v>
      </c>
      <c r="M27" s="79" t="s">
        <v>556</v>
      </c>
    </row>
    <row r="28" ht="17.25" customHeight="1">
      <c r="A28" s="74">
        <v>27.0</v>
      </c>
      <c r="B28" s="74" t="s">
        <v>557</v>
      </c>
      <c r="C28" s="75" t="s">
        <v>558</v>
      </c>
      <c r="D28" s="74" t="s">
        <v>430</v>
      </c>
      <c r="E28" s="74" t="s">
        <v>425</v>
      </c>
      <c r="F28" s="74" t="s">
        <v>431</v>
      </c>
      <c r="G28" s="74" t="s">
        <v>19</v>
      </c>
      <c r="H28" s="76" t="s">
        <v>532</v>
      </c>
      <c r="I28" s="77"/>
      <c r="J28" s="78" t="s">
        <v>559</v>
      </c>
      <c r="K28" s="74">
        <v>8.306327547E9</v>
      </c>
      <c r="L28" s="79" t="s">
        <v>560</v>
      </c>
      <c r="M28" s="79" t="s">
        <v>561</v>
      </c>
    </row>
    <row r="29" ht="17.25" customHeight="1">
      <c r="A29" s="74">
        <v>28.0</v>
      </c>
      <c r="B29" s="74" t="s">
        <v>562</v>
      </c>
      <c r="C29" s="75" t="s">
        <v>563</v>
      </c>
      <c r="D29" s="74" t="s">
        <v>430</v>
      </c>
      <c r="E29" s="74" t="s">
        <v>425</v>
      </c>
      <c r="F29" s="74" t="s">
        <v>564</v>
      </c>
      <c r="G29" s="74" t="s">
        <v>19</v>
      </c>
      <c r="H29" s="76" t="s">
        <v>532</v>
      </c>
      <c r="I29" s="77"/>
      <c r="J29" s="78" t="s">
        <v>565</v>
      </c>
      <c r="K29" s="74">
        <v>7.297804273E9</v>
      </c>
      <c r="L29" s="79" t="s">
        <v>566</v>
      </c>
      <c r="M29" s="79" t="s">
        <v>567</v>
      </c>
    </row>
    <row r="30" ht="17.25" customHeight="1">
      <c r="A30" s="74">
        <v>29.0</v>
      </c>
      <c r="B30" s="74" t="s">
        <v>568</v>
      </c>
      <c r="C30" s="75" t="s">
        <v>569</v>
      </c>
      <c r="D30" s="74" t="s">
        <v>430</v>
      </c>
      <c r="E30" s="74" t="s">
        <v>425</v>
      </c>
      <c r="F30" s="74" t="s">
        <v>564</v>
      </c>
      <c r="G30" s="74" t="s">
        <v>19</v>
      </c>
      <c r="H30" s="76" t="s">
        <v>532</v>
      </c>
      <c r="I30" s="76" t="s">
        <v>570</v>
      </c>
      <c r="J30" s="78" t="s">
        <v>571</v>
      </c>
      <c r="K30" s="74">
        <v>6.378007141E9</v>
      </c>
      <c r="L30" s="79" t="s">
        <v>572</v>
      </c>
      <c r="M30" s="79" t="s">
        <v>573</v>
      </c>
    </row>
    <row r="31" ht="17.25" customHeight="1">
      <c r="A31" s="74">
        <v>30.0</v>
      </c>
      <c r="B31" s="74" t="s">
        <v>574</v>
      </c>
      <c r="C31" s="75" t="s">
        <v>575</v>
      </c>
      <c r="D31" s="74" t="s">
        <v>430</v>
      </c>
      <c r="E31" s="74" t="s">
        <v>425</v>
      </c>
      <c r="F31" s="74" t="s">
        <v>564</v>
      </c>
      <c r="G31" s="74" t="s">
        <v>19</v>
      </c>
      <c r="H31" s="76" t="s">
        <v>532</v>
      </c>
      <c r="I31" s="77"/>
      <c r="J31" s="78" t="s">
        <v>576</v>
      </c>
      <c r="K31" s="74">
        <v>8.61934786E9</v>
      </c>
      <c r="L31" s="79" t="s">
        <v>577</v>
      </c>
      <c r="M31" s="79" t="s">
        <v>578</v>
      </c>
    </row>
    <row r="32" ht="17.25" customHeight="1">
      <c r="A32" s="74">
        <v>31.0</v>
      </c>
      <c r="B32" s="74" t="s">
        <v>579</v>
      </c>
      <c r="C32" s="75" t="s">
        <v>580</v>
      </c>
      <c r="D32" s="74" t="s">
        <v>418</v>
      </c>
      <c r="E32" s="74" t="s">
        <v>419</v>
      </c>
      <c r="F32" s="74" t="s">
        <v>581</v>
      </c>
      <c r="G32" s="74" t="s">
        <v>19</v>
      </c>
      <c r="H32" s="76" t="s">
        <v>532</v>
      </c>
      <c r="I32" s="77"/>
      <c r="J32" s="78" t="s">
        <v>582</v>
      </c>
      <c r="K32" s="74">
        <v>7.59766075E9</v>
      </c>
      <c r="L32" s="79" t="s">
        <v>583</v>
      </c>
      <c r="M32" s="79" t="s">
        <v>584</v>
      </c>
    </row>
    <row r="33" ht="17.25" customHeight="1">
      <c r="A33" s="74">
        <v>32.0</v>
      </c>
      <c r="B33" s="74" t="s">
        <v>585</v>
      </c>
      <c r="C33" s="75" t="s">
        <v>586</v>
      </c>
      <c r="D33" s="74" t="s">
        <v>418</v>
      </c>
      <c r="E33" s="74" t="s">
        <v>553</v>
      </c>
      <c r="F33" s="74" t="s">
        <v>587</v>
      </c>
      <c r="G33" s="74" t="s">
        <v>19</v>
      </c>
      <c r="H33" s="76" t="s">
        <v>532</v>
      </c>
      <c r="I33" s="77"/>
      <c r="J33" s="78" t="s">
        <v>588</v>
      </c>
      <c r="K33" s="74">
        <v>8.209023368E9</v>
      </c>
      <c r="L33" s="79" t="s">
        <v>589</v>
      </c>
      <c r="M33" s="79" t="s">
        <v>590</v>
      </c>
    </row>
    <row r="34" ht="17.25" customHeight="1">
      <c r="A34" s="74">
        <v>33.0</v>
      </c>
      <c r="B34" s="74" t="s">
        <v>591</v>
      </c>
      <c r="C34" s="75" t="s">
        <v>592</v>
      </c>
      <c r="D34" s="74" t="s">
        <v>513</v>
      </c>
      <c r="E34" s="74" t="s">
        <v>425</v>
      </c>
      <c r="F34" s="74" t="s">
        <v>431</v>
      </c>
      <c r="G34" s="74" t="s">
        <v>20</v>
      </c>
      <c r="H34" s="76" t="s">
        <v>532</v>
      </c>
      <c r="I34" s="77"/>
      <c r="J34" s="78" t="s">
        <v>593</v>
      </c>
      <c r="K34" s="74">
        <v>8.218553387E9</v>
      </c>
      <c r="L34" s="79" t="s">
        <v>594</v>
      </c>
      <c r="M34" s="79" t="s">
        <v>595</v>
      </c>
    </row>
    <row r="35" ht="17.25" customHeight="1">
      <c r="A35" s="74">
        <v>34.0</v>
      </c>
      <c r="B35" s="74" t="s">
        <v>596</v>
      </c>
      <c r="C35" s="75" t="s">
        <v>597</v>
      </c>
      <c r="D35" s="74" t="s">
        <v>469</v>
      </c>
      <c r="E35" s="74" t="s">
        <v>425</v>
      </c>
      <c r="F35" s="74" t="s">
        <v>564</v>
      </c>
      <c r="G35" s="74" t="s">
        <v>20</v>
      </c>
      <c r="H35" s="76" t="s">
        <v>532</v>
      </c>
      <c r="I35" s="77"/>
      <c r="J35" s="78" t="s">
        <v>598</v>
      </c>
      <c r="K35" s="74">
        <v>6.352822002E9</v>
      </c>
      <c r="L35" s="79" t="s">
        <v>599</v>
      </c>
      <c r="M35" s="79" t="s">
        <v>600</v>
      </c>
    </row>
    <row r="36" ht="17.25" customHeight="1">
      <c r="A36" s="74">
        <v>35.0</v>
      </c>
      <c r="B36" s="74" t="s">
        <v>601</v>
      </c>
      <c r="C36" s="75" t="s">
        <v>602</v>
      </c>
      <c r="D36" s="74" t="s">
        <v>418</v>
      </c>
      <c r="E36" s="74" t="s">
        <v>425</v>
      </c>
      <c r="F36" s="74" t="s">
        <v>531</v>
      </c>
      <c r="G36" s="74" t="s">
        <v>20</v>
      </c>
      <c r="H36" s="76" t="s">
        <v>532</v>
      </c>
      <c r="I36" s="77"/>
      <c r="J36" s="78" t="s">
        <v>603</v>
      </c>
      <c r="K36" s="74">
        <v>9.636396667E9</v>
      </c>
      <c r="L36" s="79" t="s">
        <v>604</v>
      </c>
      <c r="M36" s="79" t="s">
        <v>605</v>
      </c>
    </row>
    <row r="37" ht="17.25" customHeight="1">
      <c r="A37" s="74">
        <v>36.0</v>
      </c>
      <c r="B37" s="74" t="s">
        <v>606</v>
      </c>
      <c r="C37" s="75" t="s">
        <v>607</v>
      </c>
      <c r="D37" s="74" t="s">
        <v>469</v>
      </c>
      <c r="E37" s="74" t="s">
        <v>425</v>
      </c>
      <c r="F37" s="74" t="s">
        <v>531</v>
      </c>
      <c r="G37" s="74" t="s">
        <v>20</v>
      </c>
      <c r="H37" s="76" t="s">
        <v>532</v>
      </c>
      <c r="I37" s="77"/>
      <c r="J37" s="78" t="s">
        <v>608</v>
      </c>
      <c r="K37" s="74">
        <v>8.949943054E9</v>
      </c>
      <c r="L37" s="79" t="s">
        <v>609</v>
      </c>
      <c r="M37" s="79" t="s">
        <v>610</v>
      </c>
    </row>
    <row r="38" ht="17.25" customHeight="1">
      <c r="A38" s="74">
        <v>37.0</v>
      </c>
      <c r="B38" s="74" t="s">
        <v>611</v>
      </c>
      <c r="C38" s="75" t="s">
        <v>612</v>
      </c>
      <c r="D38" s="74" t="s">
        <v>513</v>
      </c>
      <c r="E38" s="74" t="s">
        <v>425</v>
      </c>
      <c r="F38" s="74" t="s">
        <v>587</v>
      </c>
      <c r="G38" s="74" t="s">
        <v>20</v>
      </c>
      <c r="H38" s="76" t="s">
        <v>532</v>
      </c>
      <c r="I38" s="77"/>
      <c r="J38" s="78" t="s">
        <v>613</v>
      </c>
      <c r="K38" s="74">
        <v>7.737977406E9</v>
      </c>
      <c r="L38" s="79" t="s">
        <v>614</v>
      </c>
      <c r="M38" s="79" t="s">
        <v>615</v>
      </c>
    </row>
    <row r="39" ht="17.25" customHeight="1">
      <c r="A39" s="74">
        <v>38.0</v>
      </c>
      <c r="B39" s="74" t="s">
        <v>616</v>
      </c>
      <c r="C39" s="75" t="s">
        <v>617</v>
      </c>
      <c r="D39" s="74" t="s">
        <v>513</v>
      </c>
      <c r="E39" s="74" t="s">
        <v>425</v>
      </c>
      <c r="F39" s="74" t="s">
        <v>587</v>
      </c>
      <c r="G39" s="74" t="s">
        <v>20</v>
      </c>
      <c r="H39" s="76" t="s">
        <v>532</v>
      </c>
      <c r="I39" s="77"/>
      <c r="J39" s="78" t="s">
        <v>618</v>
      </c>
      <c r="K39" s="74">
        <v>6.375198236E9</v>
      </c>
      <c r="L39" s="79" t="s">
        <v>619</v>
      </c>
      <c r="M39" s="79" t="s">
        <v>620</v>
      </c>
    </row>
    <row r="40" ht="17.25" customHeight="1">
      <c r="A40" s="74">
        <v>39.0</v>
      </c>
      <c r="B40" s="74" t="s">
        <v>621</v>
      </c>
      <c r="C40" s="75" t="s">
        <v>622</v>
      </c>
      <c r="D40" s="74" t="s">
        <v>513</v>
      </c>
      <c r="E40" s="74" t="s">
        <v>425</v>
      </c>
      <c r="F40" s="74" t="s">
        <v>502</v>
      </c>
      <c r="G40" s="74" t="s">
        <v>20</v>
      </c>
      <c r="H40" s="76" t="s">
        <v>532</v>
      </c>
      <c r="I40" s="77"/>
      <c r="J40" s="78" t="s">
        <v>623</v>
      </c>
      <c r="K40" s="74">
        <v>6.378471487E9</v>
      </c>
      <c r="L40" s="79" t="s">
        <v>624</v>
      </c>
      <c r="M40" s="79" t="s">
        <v>625</v>
      </c>
    </row>
    <row r="41" ht="17.25" customHeight="1">
      <c r="A41" s="74">
        <v>40.0</v>
      </c>
      <c r="B41" s="74" t="s">
        <v>626</v>
      </c>
      <c r="C41" s="75" t="s">
        <v>627</v>
      </c>
      <c r="D41" s="74" t="s">
        <v>418</v>
      </c>
      <c r="E41" s="74" t="s">
        <v>425</v>
      </c>
      <c r="F41" s="74" t="s">
        <v>431</v>
      </c>
      <c r="G41" s="74" t="s">
        <v>18</v>
      </c>
      <c r="H41" s="76" t="s">
        <v>570</v>
      </c>
      <c r="I41" s="77"/>
      <c r="J41" s="78" t="s">
        <v>628</v>
      </c>
      <c r="K41" s="74">
        <v>6.378674259E9</v>
      </c>
      <c r="L41" s="79" t="s">
        <v>629</v>
      </c>
      <c r="M41" s="79" t="s">
        <v>630</v>
      </c>
    </row>
    <row r="42" ht="17.25" customHeight="1">
      <c r="A42" s="74">
        <v>41.0</v>
      </c>
      <c r="B42" s="74" t="s">
        <v>631</v>
      </c>
      <c r="C42" s="75" t="s">
        <v>632</v>
      </c>
      <c r="D42" s="74" t="s">
        <v>418</v>
      </c>
      <c r="E42" s="74" t="s">
        <v>425</v>
      </c>
      <c r="F42" s="74" t="s">
        <v>531</v>
      </c>
      <c r="G42" s="74" t="s">
        <v>19</v>
      </c>
      <c r="H42" s="76" t="s">
        <v>570</v>
      </c>
      <c r="I42" s="77"/>
      <c r="J42" s="78" t="s">
        <v>633</v>
      </c>
      <c r="K42" s="74">
        <v>9.079186401E9</v>
      </c>
      <c r="L42" s="79" t="s">
        <v>634</v>
      </c>
      <c r="M42" s="79" t="s">
        <v>635</v>
      </c>
    </row>
    <row r="43" ht="17.25" customHeight="1">
      <c r="A43" s="74">
        <v>42.0</v>
      </c>
      <c r="B43" s="74" t="s">
        <v>636</v>
      </c>
      <c r="C43" s="75" t="s">
        <v>637</v>
      </c>
      <c r="D43" s="74" t="s">
        <v>418</v>
      </c>
      <c r="E43" s="74" t="s">
        <v>425</v>
      </c>
      <c r="F43" s="74" t="s">
        <v>531</v>
      </c>
      <c r="G43" s="74" t="s">
        <v>18</v>
      </c>
      <c r="H43" s="80" t="s">
        <v>638</v>
      </c>
      <c r="I43" s="77"/>
      <c r="J43" s="78" t="s">
        <v>639</v>
      </c>
      <c r="K43" s="74">
        <v>7.073117898E9</v>
      </c>
      <c r="L43" s="81"/>
      <c r="M43" s="81"/>
    </row>
    <row r="44" ht="17.25" customHeight="1">
      <c r="A44" s="74">
        <v>43.0</v>
      </c>
      <c r="B44" s="74" t="s">
        <v>640</v>
      </c>
      <c r="C44" s="75" t="s">
        <v>641</v>
      </c>
      <c r="D44" s="74" t="s">
        <v>418</v>
      </c>
      <c r="E44" s="74" t="s">
        <v>425</v>
      </c>
      <c r="F44" s="74" t="s">
        <v>564</v>
      </c>
      <c r="G44" s="74" t="s">
        <v>18</v>
      </c>
      <c r="H44" s="76" t="s">
        <v>642</v>
      </c>
      <c r="I44" s="77"/>
      <c r="J44" s="78" t="s">
        <v>643</v>
      </c>
      <c r="K44" s="74">
        <v>9.35229811E9</v>
      </c>
      <c r="L44" s="79" t="s">
        <v>644</v>
      </c>
      <c r="M44" s="79" t="s">
        <v>645</v>
      </c>
    </row>
    <row r="45" ht="17.25" customHeight="1">
      <c r="A45" s="74">
        <v>44.0</v>
      </c>
      <c r="B45" s="74" t="s">
        <v>646</v>
      </c>
      <c r="C45" s="75" t="s">
        <v>647</v>
      </c>
      <c r="D45" s="74" t="s">
        <v>430</v>
      </c>
      <c r="E45" s="74" t="s">
        <v>425</v>
      </c>
      <c r="F45" s="74" t="s">
        <v>531</v>
      </c>
      <c r="G45" s="74" t="s">
        <v>18</v>
      </c>
      <c r="H45" s="76" t="s">
        <v>642</v>
      </c>
      <c r="I45" s="77"/>
      <c r="J45" s="78" t="s">
        <v>648</v>
      </c>
      <c r="K45" s="74">
        <v>8.619441671E9</v>
      </c>
      <c r="L45" s="79" t="s">
        <v>649</v>
      </c>
      <c r="M45" s="79" t="s">
        <v>650</v>
      </c>
    </row>
    <row r="46" ht="17.25" customHeight="1">
      <c r="A46" s="74">
        <v>45.0</v>
      </c>
      <c r="B46" s="74" t="s">
        <v>651</v>
      </c>
      <c r="C46" s="75" t="s">
        <v>652</v>
      </c>
      <c r="D46" s="74" t="s">
        <v>430</v>
      </c>
      <c r="E46" s="74" t="s">
        <v>524</v>
      </c>
      <c r="F46" s="74" t="s">
        <v>431</v>
      </c>
      <c r="G46" s="74" t="s">
        <v>18</v>
      </c>
      <c r="H46" s="76" t="s">
        <v>642</v>
      </c>
      <c r="I46" s="77"/>
      <c r="J46" s="78" t="s">
        <v>653</v>
      </c>
      <c r="K46" s="74">
        <v>7.976569291E9</v>
      </c>
      <c r="L46" s="79" t="s">
        <v>654</v>
      </c>
      <c r="M46" s="79" t="s">
        <v>655</v>
      </c>
    </row>
    <row r="47" ht="17.25" customHeight="1">
      <c r="A47" s="74">
        <v>46.0</v>
      </c>
      <c r="B47" s="74" t="s">
        <v>656</v>
      </c>
      <c r="C47" s="75" t="s">
        <v>657</v>
      </c>
      <c r="D47" s="74" t="s">
        <v>513</v>
      </c>
      <c r="E47" s="74" t="s">
        <v>419</v>
      </c>
      <c r="F47" s="74" t="s">
        <v>431</v>
      </c>
      <c r="G47" s="74" t="s">
        <v>20</v>
      </c>
      <c r="H47" s="76" t="s">
        <v>642</v>
      </c>
      <c r="I47" s="77"/>
      <c r="J47" s="78" t="s">
        <v>658</v>
      </c>
      <c r="K47" s="74">
        <v>7.014216612E9</v>
      </c>
      <c r="L47" s="79" t="s">
        <v>659</v>
      </c>
      <c r="M47" s="79" t="s">
        <v>660</v>
      </c>
    </row>
    <row r="48" ht="17.25" customHeight="1">
      <c r="A48" s="74">
        <v>47.0</v>
      </c>
      <c r="B48" s="74" t="s">
        <v>661</v>
      </c>
      <c r="C48" s="75" t="s">
        <v>662</v>
      </c>
      <c r="D48" s="74" t="s">
        <v>513</v>
      </c>
      <c r="E48" s="74" t="s">
        <v>419</v>
      </c>
      <c r="F48" s="74" t="s">
        <v>564</v>
      </c>
      <c r="G48" s="74" t="s">
        <v>20</v>
      </c>
      <c r="H48" s="76" t="s">
        <v>642</v>
      </c>
      <c r="I48" s="77"/>
      <c r="J48" s="78" t="s">
        <v>663</v>
      </c>
      <c r="K48" s="74">
        <v>7.87766539E9</v>
      </c>
      <c r="L48" s="79" t="s">
        <v>664</v>
      </c>
      <c r="M48" s="79" t="s">
        <v>665</v>
      </c>
    </row>
    <row r="49" ht="17.25" customHeight="1">
      <c r="A49" s="74">
        <v>48.0</v>
      </c>
      <c r="B49" s="74" t="s">
        <v>666</v>
      </c>
      <c r="C49" s="75" t="s">
        <v>667</v>
      </c>
      <c r="D49" s="74" t="s">
        <v>418</v>
      </c>
      <c r="E49" s="74" t="s">
        <v>425</v>
      </c>
      <c r="F49" s="74" t="s">
        <v>431</v>
      </c>
      <c r="G49" s="74" t="s">
        <v>18</v>
      </c>
      <c r="H49" s="76" t="s">
        <v>668</v>
      </c>
      <c r="I49" s="77"/>
      <c r="J49" s="78" t="s">
        <v>669</v>
      </c>
      <c r="K49" s="74">
        <v>9.19879939E9</v>
      </c>
      <c r="L49" s="81"/>
      <c r="M49" s="81"/>
    </row>
    <row r="50" ht="17.25" customHeight="1">
      <c r="A50" s="74">
        <v>49.0</v>
      </c>
      <c r="B50" s="74" t="s">
        <v>670</v>
      </c>
      <c r="C50" s="75" t="s">
        <v>671</v>
      </c>
      <c r="D50" s="74" t="s">
        <v>430</v>
      </c>
      <c r="E50" s="74" t="s">
        <v>425</v>
      </c>
      <c r="F50" s="74" t="s">
        <v>531</v>
      </c>
      <c r="G50" s="74" t="s">
        <v>18</v>
      </c>
      <c r="H50" s="76" t="s">
        <v>668</v>
      </c>
      <c r="I50" s="77"/>
      <c r="J50" s="78" t="s">
        <v>672</v>
      </c>
      <c r="K50" s="74">
        <v>9.50905617E9</v>
      </c>
      <c r="L50" s="81"/>
      <c r="M50" s="81"/>
    </row>
    <row r="51" ht="17.25" customHeight="1">
      <c r="A51" s="74">
        <v>50.0</v>
      </c>
      <c r="B51" s="74" t="s">
        <v>673</v>
      </c>
      <c r="C51" s="75" t="s">
        <v>674</v>
      </c>
      <c r="D51" s="74" t="s">
        <v>418</v>
      </c>
      <c r="E51" s="74" t="s">
        <v>425</v>
      </c>
      <c r="F51" s="74" t="s">
        <v>531</v>
      </c>
      <c r="G51" s="74" t="s">
        <v>18</v>
      </c>
      <c r="H51" s="76" t="s">
        <v>668</v>
      </c>
      <c r="I51" s="77"/>
      <c r="J51" s="78" t="s">
        <v>675</v>
      </c>
      <c r="K51" s="74">
        <v>6.006887801E9</v>
      </c>
      <c r="L51" s="81"/>
      <c r="M51" s="81"/>
    </row>
    <row r="52" ht="17.25" customHeight="1">
      <c r="A52" s="74">
        <v>51.0</v>
      </c>
      <c r="B52" s="74" t="s">
        <v>676</v>
      </c>
      <c r="C52" s="75" t="s">
        <v>677</v>
      </c>
      <c r="D52" s="74" t="s">
        <v>418</v>
      </c>
      <c r="E52" s="74" t="s">
        <v>553</v>
      </c>
      <c r="F52" s="74" t="s">
        <v>431</v>
      </c>
      <c r="G52" s="74" t="s">
        <v>18</v>
      </c>
      <c r="H52" s="76" t="s">
        <v>668</v>
      </c>
      <c r="I52" s="77"/>
      <c r="J52" s="78" t="s">
        <v>678</v>
      </c>
      <c r="K52" s="74">
        <v>8.233198895E9</v>
      </c>
      <c r="L52" s="81"/>
      <c r="M52" s="81"/>
    </row>
    <row r="53" ht="17.25" customHeight="1">
      <c r="A53" s="74">
        <v>52.0</v>
      </c>
      <c r="B53" s="74" t="s">
        <v>679</v>
      </c>
      <c r="C53" s="75" t="s">
        <v>680</v>
      </c>
      <c r="D53" s="74" t="s">
        <v>418</v>
      </c>
      <c r="E53" s="74" t="s">
        <v>425</v>
      </c>
      <c r="F53" s="74" t="s">
        <v>564</v>
      </c>
      <c r="G53" s="74" t="s">
        <v>19</v>
      </c>
      <c r="H53" s="76" t="s">
        <v>668</v>
      </c>
      <c r="I53" s="77"/>
      <c r="J53" s="78" t="s">
        <v>681</v>
      </c>
      <c r="K53" s="74">
        <v>7.597125038E9</v>
      </c>
      <c r="L53" s="81"/>
      <c r="M53" s="81"/>
    </row>
    <row r="54" ht="17.25" customHeight="1">
      <c r="A54" s="74">
        <v>53.0</v>
      </c>
      <c r="B54" s="74" t="s">
        <v>682</v>
      </c>
      <c r="C54" s="75" t="s">
        <v>683</v>
      </c>
      <c r="D54" s="74" t="s">
        <v>430</v>
      </c>
      <c r="E54" s="74" t="s">
        <v>501</v>
      </c>
      <c r="F54" s="74" t="s">
        <v>502</v>
      </c>
      <c r="G54" s="74" t="s">
        <v>19</v>
      </c>
      <c r="H54" s="76" t="s">
        <v>668</v>
      </c>
      <c r="I54" s="77"/>
      <c r="J54" s="78" t="s">
        <v>684</v>
      </c>
      <c r="K54" s="74">
        <v>8.824569377E9</v>
      </c>
      <c r="L54" s="81"/>
      <c r="M54" s="81"/>
    </row>
    <row r="55" ht="17.25" customHeight="1">
      <c r="A55" s="74">
        <v>54.0</v>
      </c>
      <c r="B55" s="74" t="s">
        <v>685</v>
      </c>
      <c r="C55" s="75" t="s">
        <v>686</v>
      </c>
      <c r="D55" s="74" t="s">
        <v>430</v>
      </c>
      <c r="E55" s="74" t="s">
        <v>553</v>
      </c>
      <c r="F55" s="74" t="s">
        <v>587</v>
      </c>
      <c r="G55" s="74" t="s">
        <v>19</v>
      </c>
      <c r="H55" s="76" t="s">
        <v>668</v>
      </c>
      <c r="I55" s="77"/>
      <c r="J55" s="78" t="s">
        <v>687</v>
      </c>
      <c r="K55" s="74">
        <v>8.949807856E9</v>
      </c>
      <c r="L55" s="81"/>
      <c r="M55" s="81"/>
    </row>
    <row r="56" ht="17.25" customHeight="1">
      <c r="A56" s="74">
        <v>55.0</v>
      </c>
      <c r="B56" s="74" t="s">
        <v>688</v>
      </c>
      <c r="C56" s="75" t="s">
        <v>689</v>
      </c>
      <c r="D56" s="74" t="s">
        <v>430</v>
      </c>
      <c r="E56" s="74" t="s">
        <v>553</v>
      </c>
      <c r="F56" s="74" t="s">
        <v>587</v>
      </c>
      <c r="G56" s="74" t="s">
        <v>19</v>
      </c>
      <c r="H56" s="76" t="s">
        <v>668</v>
      </c>
      <c r="I56" s="77"/>
      <c r="J56" s="78" t="s">
        <v>690</v>
      </c>
      <c r="K56" s="74">
        <v>9.057258914E9</v>
      </c>
      <c r="L56" s="81"/>
      <c r="M56" s="81"/>
    </row>
    <row r="57" ht="17.25" customHeight="1">
      <c r="A57" s="74">
        <v>56.0</v>
      </c>
      <c r="B57" s="74" t="s">
        <v>691</v>
      </c>
      <c r="C57" s="75" t="s">
        <v>692</v>
      </c>
      <c r="D57" s="74" t="s">
        <v>513</v>
      </c>
      <c r="E57" s="74" t="s">
        <v>693</v>
      </c>
      <c r="F57" s="74" t="s">
        <v>431</v>
      </c>
      <c r="G57" s="74" t="s">
        <v>20</v>
      </c>
      <c r="H57" s="76" t="s">
        <v>668</v>
      </c>
      <c r="I57" s="77"/>
      <c r="J57" s="78" t="s">
        <v>694</v>
      </c>
      <c r="K57" s="74">
        <v>9.024649558E9</v>
      </c>
      <c r="L57" s="81"/>
      <c r="M57" s="81"/>
    </row>
    <row r="58" ht="17.25" customHeight="1">
      <c r="A58" s="74">
        <v>57.0</v>
      </c>
      <c r="B58" s="74" t="s">
        <v>695</v>
      </c>
      <c r="C58" s="75" t="s">
        <v>696</v>
      </c>
      <c r="D58" s="74" t="s">
        <v>513</v>
      </c>
      <c r="E58" s="74" t="s">
        <v>425</v>
      </c>
      <c r="F58" s="74" t="s">
        <v>531</v>
      </c>
      <c r="G58" s="74" t="s">
        <v>20</v>
      </c>
      <c r="H58" s="76" t="s">
        <v>668</v>
      </c>
      <c r="I58" s="77"/>
      <c r="J58" s="78" t="s">
        <v>697</v>
      </c>
      <c r="K58" s="74">
        <v>9.024774524E9</v>
      </c>
      <c r="L58" s="81"/>
      <c r="M58" s="81"/>
    </row>
    <row r="59" ht="17.25" customHeight="1">
      <c r="A59" s="74">
        <v>58.0</v>
      </c>
      <c r="B59" s="74" t="s">
        <v>698</v>
      </c>
      <c r="C59" s="75" t="s">
        <v>699</v>
      </c>
      <c r="D59" s="74" t="s">
        <v>513</v>
      </c>
      <c r="E59" s="74" t="s">
        <v>425</v>
      </c>
      <c r="F59" s="74" t="s">
        <v>587</v>
      </c>
      <c r="G59" s="74" t="s">
        <v>20</v>
      </c>
      <c r="H59" s="76" t="s">
        <v>668</v>
      </c>
      <c r="I59" s="77"/>
      <c r="J59" s="78" t="s">
        <v>700</v>
      </c>
      <c r="K59" s="74">
        <v>9.521534382E9</v>
      </c>
      <c r="L59" s="81"/>
      <c r="M59" s="81"/>
    </row>
    <row r="60" ht="17.25" customHeight="1">
      <c r="A60" s="74">
        <v>59.0</v>
      </c>
      <c r="B60" s="74" t="s">
        <v>701</v>
      </c>
      <c r="C60" s="75" t="s">
        <v>702</v>
      </c>
      <c r="D60" s="74" t="s">
        <v>513</v>
      </c>
      <c r="E60" s="74" t="s">
        <v>524</v>
      </c>
      <c r="F60" s="74" t="s">
        <v>431</v>
      </c>
      <c r="G60" s="74" t="s">
        <v>20</v>
      </c>
      <c r="H60" s="76" t="s">
        <v>668</v>
      </c>
      <c r="I60" s="77"/>
      <c r="J60" s="78" t="s">
        <v>703</v>
      </c>
      <c r="K60" s="74">
        <v>6.378980638E9</v>
      </c>
      <c r="L60" s="81"/>
      <c r="M60" s="81"/>
    </row>
    <row r="61" ht="17.25" customHeight="1">
      <c r="A61" s="74">
        <v>60.0</v>
      </c>
      <c r="B61" s="74" t="s">
        <v>704</v>
      </c>
      <c r="C61" s="75" t="s">
        <v>705</v>
      </c>
      <c r="D61" s="74" t="s">
        <v>418</v>
      </c>
      <c r="E61" s="74" t="s">
        <v>425</v>
      </c>
      <c r="F61" s="74" t="s">
        <v>431</v>
      </c>
      <c r="G61" s="74" t="s">
        <v>18</v>
      </c>
      <c r="H61" s="76" t="s">
        <v>706</v>
      </c>
      <c r="I61" s="77"/>
      <c r="J61" s="78" t="s">
        <v>707</v>
      </c>
      <c r="K61" s="74">
        <v>9.264482523E9</v>
      </c>
      <c r="L61" s="79" t="s">
        <v>708</v>
      </c>
      <c r="M61" s="79" t="s">
        <v>709</v>
      </c>
    </row>
    <row r="62" ht="17.25" customHeight="1">
      <c r="A62" s="74">
        <v>61.0</v>
      </c>
      <c r="B62" s="74" t="s">
        <v>710</v>
      </c>
      <c r="C62" s="75" t="s">
        <v>711</v>
      </c>
      <c r="D62" s="74" t="s">
        <v>430</v>
      </c>
      <c r="E62" s="74" t="s">
        <v>425</v>
      </c>
      <c r="F62" s="74" t="s">
        <v>531</v>
      </c>
      <c r="G62" s="74" t="s">
        <v>18</v>
      </c>
      <c r="H62" s="76" t="s">
        <v>706</v>
      </c>
      <c r="I62" s="77"/>
      <c r="J62" s="78" t="s">
        <v>712</v>
      </c>
      <c r="K62" s="74">
        <v>8.875720227E9</v>
      </c>
      <c r="L62" s="79" t="s">
        <v>713</v>
      </c>
      <c r="M62" s="79" t="s">
        <v>714</v>
      </c>
    </row>
    <row r="63" ht="17.25" customHeight="1">
      <c r="A63" s="74">
        <v>62.0</v>
      </c>
      <c r="B63" s="74" t="s">
        <v>715</v>
      </c>
      <c r="C63" s="75" t="s">
        <v>716</v>
      </c>
      <c r="D63" s="74" t="s">
        <v>430</v>
      </c>
      <c r="E63" s="74" t="s">
        <v>425</v>
      </c>
      <c r="F63" s="74" t="s">
        <v>531</v>
      </c>
      <c r="G63" s="74" t="s">
        <v>18</v>
      </c>
      <c r="H63" s="76" t="s">
        <v>706</v>
      </c>
      <c r="I63" s="77"/>
      <c r="J63" s="78" t="s">
        <v>717</v>
      </c>
      <c r="K63" s="74">
        <v>9.5878717E9</v>
      </c>
      <c r="L63" s="79" t="s">
        <v>718</v>
      </c>
      <c r="M63" s="79" t="s">
        <v>719</v>
      </c>
    </row>
    <row r="64" ht="17.25" customHeight="1">
      <c r="A64" s="74">
        <v>63.0</v>
      </c>
      <c r="B64" s="74" t="s">
        <v>720</v>
      </c>
      <c r="C64" s="75" t="s">
        <v>721</v>
      </c>
      <c r="D64" s="74" t="s">
        <v>418</v>
      </c>
      <c r="E64" s="74" t="s">
        <v>425</v>
      </c>
      <c r="F64" s="74" t="s">
        <v>531</v>
      </c>
      <c r="G64" s="74" t="s">
        <v>18</v>
      </c>
      <c r="H64" s="76" t="s">
        <v>706</v>
      </c>
      <c r="I64" s="77"/>
      <c r="J64" s="78" t="s">
        <v>722</v>
      </c>
      <c r="K64" s="74">
        <v>7.279044067E9</v>
      </c>
      <c r="L64" s="79" t="s">
        <v>723</v>
      </c>
      <c r="M64" s="79" t="s">
        <v>724</v>
      </c>
    </row>
    <row r="65" ht="17.25" customHeight="1">
      <c r="A65" s="74">
        <v>64.0</v>
      </c>
      <c r="B65" s="74" t="s">
        <v>725</v>
      </c>
      <c r="C65" s="75" t="s">
        <v>726</v>
      </c>
      <c r="D65" s="74" t="s">
        <v>418</v>
      </c>
      <c r="E65" s="74" t="s">
        <v>464</v>
      </c>
      <c r="F65" s="74" t="s">
        <v>431</v>
      </c>
      <c r="G65" s="74" t="s">
        <v>18</v>
      </c>
      <c r="H65" s="76" t="s">
        <v>706</v>
      </c>
      <c r="I65" s="77"/>
      <c r="J65" s="78" t="s">
        <v>727</v>
      </c>
      <c r="K65" s="74">
        <v>9.521803108E9</v>
      </c>
      <c r="L65" s="79" t="s">
        <v>728</v>
      </c>
      <c r="M65" s="79" t="s">
        <v>729</v>
      </c>
    </row>
    <row r="66" ht="17.25" customHeight="1">
      <c r="A66" s="74">
        <v>65.0</v>
      </c>
      <c r="B66" s="74" t="s">
        <v>730</v>
      </c>
      <c r="C66" s="75" t="s">
        <v>731</v>
      </c>
      <c r="D66" s="74" t="s">
        <v>418</v>
      </c>
      <c r="E66" s="74" t="s">
        <v>438</v>
      </c>
      <c r="F66" s="74" t="s">
        <v>431</v>
      </c>
      <c r="G66" s="74" t="s">
        <v>18</v>
      </c>
      <c r="H66" s="76" t="s">
        <v>706</v>
      </c>
      <c r="I66" s="76" t="s">
        <v>732</v>
      </c>
      <c r="J66" s="78" t="s">
        <v>733</v>
      </c>
      <c r="K66" s="74">
        <v>9.610434783E9</v>
      </c>
      <c r="L66" s="79" t="s">
        <v>734</v>
      </c>
      <c r="M66" s="79" t="s">
        <v>735</v>
      </c>
    </row>
    <row r="67" ht="17.25" customHeight="1">
      <c r="A67" s="74">
        <v>66.0</v>
      </c>
      <c r="B67" s="74" t="s">
        <v>736</v>
      </c>
      <c r="C67" s="75" t="s">
        <v>737</v>
      </c>
      <c r="D67" s="74" t="s">
        <v>430</v>
      </c>
      <c r="E67" s="74" t="s">
        <v>425</v>
      </c>
      <c r="F67" s="74" t="s">
        <v>431</v>
      </c>
      <c r="G67" s="74" t="s">
        <v>19</v>
      </c>
      <c r="H67" s="76" t="s">
        <v>706</v>
      </c>
      <c r="I67" s="77"/>
      <c r="J67" s="78" t="s">
        <v>738</v>
      </c>
      <c r="K67" s="74">
        <v>8.302259459E9</v>
      </c>
      <c r="L67" s="79" t="s">
        <v>739</v>
      </c>
      <c r="M67" s="79" t="s">
        <v>740</v>
      </c>
    </row>
    <row r="68" ht="17.25" customHeight="1">
      <c r="A68" s="74">
        <v>67.0</v>
      </c>
      <c r="B68" s="74" t="s">
        <v>741</v>
      </c>
      <c r="C68" s="75" t="s">
        <v>742</v>
      </c>
      <c r="D68" s="74" t="s">
        <v>418</v>
      </c>
      <c r="E68" s="74" t="s">
        <v>425</v>
      </c>
      <c r="F68" s="74" t="s">
        <v>431</v>
      </c>
      <c r="G68" s="74" t="s">
        <v>19</v>
      </c>
      <c r="H68" s="76" t="s">
        <v>706</v>
      </c>
      <c r="I68" s="77"/>
      <c r="J68" s="78" t="s">
        <v>743</v>
      </c>
      <c r="K68" s="74">
        <v>7.62702116E9</v>
      </c>
      <c r="L68" s="79" t="s">
        <v>744</v>
      </c>
      <c r="M68" s="79" t="s">
        <v>745</v>
      </c>
    </row>
    <row r="69" ht="17.25" customHeight="1">
      <c r="A69" s="74">
        <v>68.0</v>
      </c>
      <c r="B69" s="74" t="s">
        <v>746</v>
      </c>
      <c r="C69" s="75" t="s">
        <v>747</v>
      </c>
      <c r="D69" s="74" t="s">
        <v>418</v>
      </c>
      <c r="E69" s="74" t="s">
        <v>748</v>
      </c>
      <c r="F69" s="74" t="s">
        <v>431</v>
      </c>
      <c r="G69" s="74" t="s">
        <v>18</v>
      </c>
      <c r="H69" s="76" t="s">
        <v>749</v>
      </c>
      <c r="I69" s="77"/>
      <c r="J69" s="78" t="s">
        <v>750</v>
      </c>
      <c r="K69" s="74">
        <v>7.728855369E9</v>
      </c>
      <c r="L69" s="81"/>
      <c r="M69" s="81"/>
    </row>
    <row r="70" ht="17.25" customHeight="1">
      <c r="A70" s="74">
        <v>69.0</v>
      </c>
      <c r="B70" s="74" t="s">
        <v>751</v>
      </c>
      <c r="C70" s="75" t="s">
        <v>752</v>
      </c>
      <c r="D70" s="74" t="s">
        <v>418</v>
      </c>
      <c r="E70" s="74" t="s">
        <v>753</v>
      </c>
      <c r="F70" s="74" t="s">
        <v>431</v>
      </c>
      <c r="G70" s="74" t="s">
        <v>18</v>
      </c>
      <c r="H70" s="76" t="s">
        <v>749</v>
      </c>
      <c r="I70" s="77"/>
      <c r="J70" s="78" t="s">
        <v>754</v>
      </c>
      <c r="K70" s="74">
        <v>6.376488023E9</v>
      </c>
      <c r="L70" s="81"/>
      <c r="M70" s="81"/>
    </row>
    <row r="71" ht="17.25" customHeight="1">
      <c r="A71" s="74">
        <v>70.0</v>
      </c>
      <c r="B71" s="74" t="s">
        <v>755</v>
      </c>
      <c r="C71" s="75" t="s">
        <v>756</v>
      </c>
      <c r="D71" s="74" t="s">
        <v>430</v>
      </c>
      <c r="E71" s="74" t="s">
        <v>425</v>
      </c>
      <c r="F71" s="74" t="s">
        <v>531</v>
      </c>
      <c r="G71" s="74" t="s">
        <v>18</v>
      </c>
      <c r="H71" s="76" t="s">
        <v>757</v>
      </c>
      <c r="I71" s="77"/>
      <c r="J71" s="78" t="s">
        <v>758</v>
      </c>
      <c r="K71" s="74">
        <v>7.976667945E9</v>
      </c>
      <c r="L71" s="79" t="s">
        <v>759</v>
      </c>
      <c r="M71" s="79" t="s">
        <v>760</v>
      </c>
    </row>
    <row r="72" ht="17.25" customHeight="1">
      <c r="A72" s="74">
        <v>71.0</v>
      </c>
      <c r="B72" s="74" t="s">
        <v>761</v>
      </c>
      <c r="C72" s="75" t="s">
        <v>762</v>
      </c>
      <c r="D72" s="74" t="s">
        <v>418</v>
      </c>
      <c r="E72" s="74" t="s">
        <v>425</v>
      </c>
      <c r="F72" s="74" t="s">
        <v>531</v>
      </c>
      <c r="G72" s="74" t="s">
        <v>18</v>
      </c>
      <c r="H72" s="76" t="s">
        <v>757</v>
      </c>
      <c r="I72" s="77"/>
      <c r="J72" s="78" t="s">
        <v>763</v>
      </c>
      <c r="K72" s="74">
        <v>9.661656803E9</v>
      </c>
      <c r="L72" s="79" t="s">
        <v>764</v>
      </c>
      <c r="M72" s="79" t="s">
        <v>765</v>
      </c>
    </row>
    <row r="73" ht="17.25" customHeight="1">
      <c r="A73" s="74">
        <v>72.0</v>
      </c>
      <c r="B73" s="74" t="s">
        <v>766</v>
      </c>
      <c r="C73" s="75" t="s">
        <v>767</v>
      </c>
      <c r="D73" s="74" t="s">
        <v>418</v>
      </c>
      <c r="E73" s="74" t="s">
        <v>553</v>
      </c>
      <c r="F73" s="74" t="s">
        <v>431</v>
      </c>
      <c r="G73" s="74" t="s">
        <v>18</v>
      </c>
      <c r="H73" s="76" t="s">
        <v>757</v>
      </c>
      <c r="I73" s="77"/>
      <c r="J73" s="78" t="s">
        <v>768</v>
      </c>
      <c r="K73" s="74">
        <v>8.426005061E9</v>
      </c>
      <c r="L73" s="79" t="s">
        <v>769</v>
      </c>
      <c r="M73" s="79" t="s">
        <v>770</v>
      </c>
    </row>
    <row r="74" ht="17.25" customHeight="1">
      <c r="A74" s="74">
        <v>73.0</v>
      </c>
      <c r="B74" s="74" t="s">
        <v>771</v>
      </c>
      <c r="C74" s="75" t="s">
        <v>772</v>
      </c>
      <c r="D74" s="74" t="s">
        <v>418</v>
      </c>
      <c r="E74" s="74" t="s">
        <v>553</v>
      </c>
      <c r="F74" s="74" t="s">
        <v>431</v>
      </c>
      <c r="G74" s="74" t="s">
        <v>18</v>
      </c>
      <c r="H74" s="76" t="s">
        <v>757</v>
      </c>
      <c r="I74" s="77"/>
      <c r="J74" s="78" t="s">
        <v>773</v>
      </c>
      <c r="K74" s="74">
        <v>8.824337299E9</v>
      </c>
      <c r="L74" s="79" t="s">
        <v>774</v>
      </c>
      <c r="M74" s="79" t="s">
        <v>775</v>
      </c>
    </row>
    <row r="75" ht="17.25" customHeight="1">
      <c r="A75" s="74">
        <v>74.0</v>
      </c>
      <c r="B75" s="74" t="s">
        <v>776</v>
      </c>
      <c r="C75" s="75" t="s">
        <v>777</v>
      </c>
      <c r="D75" s="74" t="s">
        <v>469</v>
      </c>
      <c r="E75" s="74" t="s">
        <v>425</v>
      </c>
      <c r="F75" s="74" t="s">
        <v>564</v>
      </c>
      <c r="G75" s="74" t="s">
        <v>20</v>
      </c>
      <c r="H75" s="76" t="s">
        <v>757</v>
      </c>
      <c r="I75" s="77"/>
      <c r="J75" s="78" t="s">
        <v>778</v>
      </c>
      <c r="K75" s="74">
        <v>6.367187475E9</v>
      </c>
      <c r="L75" s="79" t="s">
        <v>779</v>
      </c>
      <c r="M75" s="79" t="s">
        <v>780</v>
      </c>
    </row>
    <row r="76" ht="17.25" customHeight="1">
      <c r="A76" s="74">
        <v>75.0</v>
      </c>
      <c r="B76" s="74" t="s">
        <v>781</v>
      </c>
      <c r="C76" s="75" t="s">
        <v>782</v>
      </c>
      <c r="D76" s="74" t="s">
        <v>513</v>
      </c>
      <c r="E76" s="74" t="s">
        <v>425</v>
      </c>
      <c r="F76" s="74" t="s">
        <v>531</v>
      </c>
      <c r="G76" s="74" t="s">
        <v>20</v>
      </c>
      <c r="H76" s="76" t="s">
        <v>757</v>
      </c>
      <c r="I76" s="77"/>
      <c r="J76" s="78" t="s">
        <v>783</v>
      </c>
      <c r="K76" s="74">
        <v>9.166121796E9</v>
      </c>
      <c r="L76" s="79" t="s">
        <v>784</v>
      </c>
      <c r="M76" s="79" t="s">
        <v>785</v>
      </c>
    </row>
    <row r="77" ht="17.25" customHeight="1">
      <c r="A77" s="74">
        <v>76.0</v>
      </c>
      <c r="B77" s="74" t="s">
        <v>786</v>
      </c>
      <c r="C77" s="75" t="s">
        <v>787</v>
      </c>
      <c r="D77" s="74" t="s">
        <v>418</v>
      </c>
      <c r="E77" s="74" t="s">
        <v>788</v>
      </c>
      <c r="F77" s="74" t="s">
        <v>420</v>
      </c>
      <c r="G77" s="74" t="s">
        <v>18</v>
      </c>
      <c r="H77" s="76" t="s">
        <v>732</v>
      </c>
      <c r="I77" s="77"/>
      <c r="J77" s="78" t="s">
        <v>789</v>
      </c>
      <c r="K77" s="74">
        <v>7.891824034E9</v>
      </c>
      <c r="L77" s="79" t="s">
        <v>790</v>
      </c>
      <c r="M77" s="79" t="s">
        <v>791</v>
      </c>
    </row>
    <row r="78" ht="17.25" customHeight="1">
      <c r="A78" s="74">
        <v>77.0</v>
      </c>
      <c r="B78" s="74" t="s">
        <v>792</v>
      </c>
      <c r="C78" s="75" t="s">
        <v>793</v>
      </c>
      <c r="D78" s="74" t="s">
        <v>418</v>
      </c>
      <c r="E78" s="74" t="s">
        <v>524</v>
      </c>
      <c r="F78" s="74"/>
      <c r="G78" s="74" t="s">
        <v>18</v>
      </c>
      <c r="H78" s="76" t="s">
        <v>732</v>
      </c>
      <c r="I78" s="77"/>
      <c r="J78" s="78" t="s">
        <v>794</v>
      </c>
      <c r="K78" s="74">
        <v>9.116020797E9</v>
      </c>
      <c r="L78" s="79" t="s">
        <v>795</v>
      </c>
      <c r="M78" s="79" t="s">
        <v>796</v>
      </c>
    </row>
    <row r="79" ht="17.25" customHeight="1">
      <c r="A79" s="74">
        <v>78.0</v>
      </c>
      <c r="B79" s="74" t="s">
        <v>797</v>
      </c>
      <c r="C79" s="75" t="s">
        <v>798</v>
      </c>
      <c r="D79" s="74" t="s">
        <v>418</v>
      </c>
      <c r="E79" s="74" t="s">
        <v>799</v>
      </c>
      <c r="F79" s="74" t="s">
        <v>800</v>
      </c>
      <c r="G79" s="74" t="s">
        <v>18</v>
      </c>
      <c r="H79" s="80" t="s">
        <v>732</v>
      </c>
      <c r="I79" s="77"/>
      <c r="J79" s="78" t="s">
        <v>801</v>
      </c>
      <c r="K79" s="74">
        <v>9.509092101E9</v>
      </c>
      <c r="L79" s="81"/>
      <c r="M79" s="81"/>
    </row>
    <row r="80" ht="17.25" customHeight="1">
      <c r="A80" s="74">
        <v>79.0</v>
      </c>
      <c r="B80" s="74" t="s">
        <v>802</v>
      </c>
      <c r="C80" s="75" t="s">
        <v>803</v>
      </c>
      <c r="D80" s="74" t="s">
        <v>513</v>
      </c>
      <c r="E80" s="74" t="s">
        <v>50</v>
      </c>
      <c r="F80" s="74" t="s">
        <v>431</v>
      </c>
      <c r="G80" s="74" t="s">
        <v>20</v>
      </c>
      <c r="H80" s="80" t="s">
        <v>804</v>
      </c>
      <c r="I80" s="77"/>
      <c r="J80" s="78" t="s">
        <v>805</v>
      </c>
      <c r="K80" s="74">
        <v>8.69619202E9</v>
      </c>
      <c r="L80" s="81"/>
      <c r="M80" s="81"/>
    </row>
    <row r="81" ht="17.25" customHeight="1">
      <c r="A81" s="74">
        <v>80.0</v>
      </c>
      <c r="B81" s="74" t="s">
        <v>806</v>
      </c>
      <c r="C81" s="75" t="s">
        <v>807</v>
      </c>
      <c r="D81" s="74" t="s">
        <v>513</v>
      </c>
      <c r="E81" s="74" t="s">
        <v>419</v>
      </c>
      <c r="F81" s="74" t="s">
        <v>564</v>
      </c>
      <c r="G81" s="74" t="s">
        <v>20</v>
      </c>
      <c r="H81" s="76" t="s">
        <v>706</v>
      </c>
      <c r="I81" s="77"/>
      <c r="J81" s="78" t="s">
        <v>808</v>
      </c>
      <c r="K81" s="74">
        <v>8.905907116E9</v>
      </c>
      <c r="L81" s="79" t="s">
        <v>809</v>
      </c>
      <c r="M81" s="79" t="s">
        <v>810</v>
      </c>
    </row>
    <row r="82" ht="17.25" customHeight="1">
      <c r="A82" s="74">
        <v>81.0</v>
      </c>
      <c r="B82" s="74" t="s">
        <v>811</v>
      </c>
      <c r="C82" s="75" t="s">
        <v>812</v>
      </c>
      <c r="D82" s="74" t="s">
        <v>418</v>
      </c>
      <c r="E82" s="74" t="s">
        <v>425</v>
      </c>
      <c r="F82" s="74" t="s">
        <v>431</v>
      </c>
      <c r="G82" s="74" t="s">
        <v>18</v>
      </c>
      <c r="H82" s="76" t="s">
        <v>813</v>
      </c>
      <c r="I82" s="77"/>
      <c r="J82" s="78" t="s">
        <v>814</v>
      </c>
      <c r="K82" s="74">
        <v>9.576795381E9</v>
      </c>
      <c r="L82" s="79" t="s">
        <v>815</v>
      </c>
      <c r="M82" s="79" t="s">
        <v>816</v>
      </c>
    </row>
    <row r="83" ht="17.25" customHeight="1">
      <c r="A83" s="74">
        <v>82.0</v>
      </c>
      <c r="B83" s="74" t="s">
        <v>817</v>
      </c>
      <c r="C83" s="75" t="s">
        <v>818</v>
      </c>
      <c r="D83" s="74" t="s">
        <v>418</v>
      </c>
      <c r="E83" s="74" t="s">
        <v>425</v>
      </c>
      <c r="F83" s="74" t="s">
        <v>431</v>
      </c>
      <c r="G83" s="74" t="s">
        <v>18</v>
      </c>
      <c r="H83" s="76" t="s">
        <v>813</v>
      </c>
      <c r="I83" s="77"/>
      <c r="J83" s="78" t="s">
        <v>819</v>
      </c>
      <c r="K83" s="74">
        <v>9.116927782E9</v>
      </c>
      <c r="L83" s="79" t="s">
        <v>820</v>
      </c>
      <c r="M83" s="79" t="s">
        <v>821</v>
      </c>
    </row>
    <row r="84" ht="17.25" customHeight="1">
      <c r="A84" s="74">
        <v>83.0</v>
      </c>
      <c r="B84" s="74" t="s">
        <v>822</v>
      </c>
      <c r="C84" s="75" t="s">
        <v>823</v>
      </c>
      <c r="D84" s="74" t="s">
        <v>430</v>
      </c>
      <c r="E84" s="74" t="s">
        <v>425</v>
      </c>
      <c r="F84" s="74" t="s">
        <v>431</v>
      </c>
      <c r="G84" s="74" t="s">
        <v>18</v>
      </c>
      <c r="H84" s="76" t="s">
        <v>813</v>
      </c>
      <c r="I84" s="77"/>
      <c r="J84" s="78" t="s">
        <v>824</v>
      </c>
      <c r="K84" s="74">
        <v>8.955264102E9</v>
      </c>
      <c r="L84" s="79" t="s">
        <v>825</v>
      </c>
      <c r="M84" s="79" t="s">
        <v>826</v>
      </c>
    </row>
    <row r="85" ht="17.25" customHeight="1">
      <c r="A85" s="74">
        <v>84.0</v>
      </c>
      <c r="B85" s="74" t="s">
        <v>827</v>
      </c>
      <c r="C85" s="75" t="s">
        <v>828</v>
      </c>
      <c r="D85" s="74" t="s">
        <v>418</v>
      </c>
      <c r="E85" s="74" t="s">
        <v>425</v>
      </c>
      <c r="F85" s="74" t="s">
        <v>431</v>
      </c>
      <c r="G85" s="74" t="s">
        <v>18</v>
      </c>
      <c r="H85" s="76" t="s">
        <v>813</v>
      </c>
      <c r="I85" s="77"/>
      <c r="J85" s="78" t="s">
        <v>829</v>
      </c>
      <c r="K85" s="74">
        <v>8.690465932E9</v>
      </c>
      <c r="L85" s="79" t="s">
        <v>830</v>
      </c>
      <c r="M85" s="79" t="s">
        <v>831</v>
      </c>
    </row>
    <row r="86" ht="17.25" customHeight="1">
      <c r="A86" s="74">
        <v>85.0</v>
      </c>
      <c r="B86" s="74" t="s">
        <v>832</v>
      </c>
      <c r="C86" s="75" t="s">
        <v>833</v>
      </c>
      <c r="D86" s="74" t="s">
        <v>418</v>
      </c>
      <c r="E86" s="74" t="s">
        <v>425</v>
      </c>
      <c r="F86" s="74" t="s">
        <v>431</v>
      </c>
      <c r="G86" s="74" t="s">
        <v>18</v>
      </c>
      <c r="H86" s="76" t="s">
        <v>813</v>
      </c>
      <c r="I86" s="77"/>
      <c r="J86" s="78" t="s">
        <v>834</v>
      </c>
      <c r="K86" s="74">
        <v>9.057763176E9</v>
      </c>
      <c r="L86" s="79" t="s">
        <v>835</v>
      </c>
      <c r="M86" s="79" t="s">
        <v>836</v>
      </c>
    </row>
    <row r="87" ht="17.25" customHeight="1">
      <c r="A87" s="74">
        <v>86.0</v>
      </c>
      <c r="B87" s="74" t="s">
        <v>837</v>
      </c>
      <c r="C87" s="75" t="s">
        <v>838</v>
      </c>
      <c r="D87" s="74" t="s">
        <v>418</v>
      </c>
      <c r="E87" s="74" t="s">
        <v>425</v>
      </c>
      <c r="F87" s="74" t="s">
        <v>531</v>
      </c>
      <c r="G87" s="74" t="s">
        <v>18</v>
      </c>
      <c r="H87" s="76" t="s">
        <v>813</v>
      </c>
      <c r="I87" s="77"/>
      <c r="J87" s="78" t="s">
        <v>839</v>
      </c>
      <c r="K87" s="74">
        <v>6.350524594E9</v>
      </c>
      <c r="L87" s="79" t="s">
        <v>840</v>
      </c>
      <c r="M87" s="79" t="s">
        <v>841</v>
      </c>
    </row>
    <row r="88" ht="17.25" customHeight="1">
      <c r="A88" s="74">
        <v>87.0</v>
      </c>
      <c r="B88" s="74" t="s">
        <v>842</v>
      </c>
      <c r="C88" s="75" t="s">
        <v>843</v>
      </c>
      <c r="D88" s="74" t="s">
        <v>418</v>
      </c>
      <c r="E88" s="74" t="s">
        <v>425</v>
      </c>
      <c r="F88" s="74" t="s">
        <v>431</v>
      </c>
      <c r="G88" s="74" t="s">
        <v>18</v>
      </c>
      <c r="H88" s="76" t="s">
        <v>813</v>
      </c>
      <c r="I88" s="77"/>
      <c r="J88" s="78" t="s">
        <v>844</v>
      </c>
      <c r="K88" s="74">
        <v>9.950135938E9</v>
      </c>
      <c r="L88" s="79" t="s">
        <v>845</v>
      </c>
      <c r="M88" s="79" t="s">
        <v>846</v>
      </c>
    </row>
    <row r="89" ht="17.25" customHeight="1">
      <c r="A89" s="74">
        <v>88.0</v>
      </c>
      <c r="B89" s="74" t="s">
        <v>847</v>
      </c>
      <c r="C89" s="75" t="s">
        <v>848</v>
      </c>
      <c r="D89" s="74" t="s">
        <v>418</v>
      </c>
      <c r="E89" s="74" t="s">
        <v>425</v>
      </c>
      <c r="F89" s="74" t="s">
        <v>531</v>
      </c>
      <c r="G89" s="74" t="s">
        <v>18</v>
      </c>
      <c r="H89" s="76" t="s">
        <v>813</v>
      </c>
      <c r="I89" s="77"/>
      <c r="J89" s="78" t="s">
        <v>849</v>
      </c>
      <c r="K89" s="74">
        <v>8.003596231E9</v>
      </c>
      <c r="L89" s="79" t="s">
        <v>850</v>
      </c>
      <c r="M89" s="79" t="s">
        <v>851</v>
      </c>
    </row>
    <row r="90" ht="17.25" customHeight="1">
      <c r="A90" s="74">
        <v>89.0</v>
      </c>
      <c r="B90" s="74" t="s">
        <v>852</v>
      </c>
      <c r="C90" s="75" t="s">
        <v>853</v>
      </c>
      <c r="D90" s="74" t="s">
        <v>418</v>
      </c>
      <c r="E90" s="74" t="s">
        <v>419</v>
      </c>
      <c r="F90" s="74" t="s">
        <v>431</v>
      </c>
      <c r="G90" s="74" t="s">
        <v>18</v>
      </c>
      <c r="H90" s="76" t="s">
        <v>813</v>
      </c>
      <c r="I90" s="77"/>
      <c r="J90" s="78" t="s">
        <v>854</v>
      </c>
      <c r="K90" s="74">
        <v>9.02421997E9</v>
      </c>
      <c r="L90" s="79" t="s">
        <v>855</v>
      </c>
      <c r="M90" s="79" t="s">
        <v>856</v>
      </c>
    </row>
    <row r="91" ht="17.25" customHeight="1">
      <c r="A91" s="74">
        <v>90.0</v>
      </c>
      <c r="B91" s="74" t="s">
        <v>857</v>
      </c>
      <c r="C91" s="75" t="s">
        <v>858</v>
      </c>
      <c r="D91" s="74" t="s">
        <v>430</v>
      </c>
      <c r="E91" s="74" t="s">
        <v>464</v>
      </c>
      <c r="F91" s="74" t="s">
        <v>431</v>
      </c>
      <c r="G91" s="74" t="s">
        <v>18</v>
      </c>
      <c r="H91" s="76" t="s">
        <v>813</v>
      </c>
      <c r="I91" s="77"/>
      <c r="J91" s="78" t="s">
        <v>859</v>
      </c>
      <c r="K91" s="74">
        <v>7.891807877E9</v>
      </c>
      <c r="L91" s="79" t="s">
        <v>860</v>
      </c>
      <c r="M91" s="79" t="s">
        <v>861</v>
      </c>
    </row>
    <row r="92" ht="17.25" customHeight="1">
      <c r="A92" s="74">
        <v>91.0</v>
      </c>
      <c r="B92" s="74" t="s">
        <v>862</v>
      </c>
      <c r="C92" s="75" t="s">
        <v>863</v>
      </c>
      <c r="D92" s="74" t="s">
        <v>430</v>
      </c>
      <c r="E92" s="74" t="s">
        <v>464</v>
      </c>
      <c r="F92" s="74" t="s">
        <v>431</v>
      </c>
      <c r="G92" s="74" t="s">
        <v>18</v>
      </c>
      <c r="H92" s="76" t="s">
        <v>813</v>
      </c>
      <c r="I92" s="77"/>
      <c r="J92" s="78" t="s">
        <v>864</v>
      </c>
      <c r="K92" s="74">
        <v>9.928913252E9</v>
      </c>
      <c r="L92" s="79" t="s">
        <v>865</v>
      </c>
      <c r="M92" s="79" t="s">
        <v>866</v>
      </c>
    </row>
    <row r="93" ht="17.25" customHeight="1">
      <c r="A93" s="74">
        <v>92.0</v>
      </c>
      <c r="B93" s="74" t="s">
        <v>867</v>
      </c>
      <c r="C93" s="75" t="s">
        <v>868</v>
      </c>
      <c r="D93" s="74" t="s">
        <v>430</v>
      </c>
      <c r="E93" s="74" t="s">
        <v>425</v>
      </c>
      <c r="F93" s="74" t="s">
        <v>431</v>
      </c>
      <c r="G93" s="74" t="s">
        <v>19</v>
      </c>
      <c r="H93" s="76" t="s">
        <v>813</v>
      </c>
      <c r="I93" s="77"/>
      <c r="J93" s="78" t="s">
        <v>869</v>
      </c>
      <c r="K93" s="74">
        <v>8.825009085E9</v>
      </c>
      <c r="L93" s="79" t="s">
        <v>870</v>
      </c>
      <c r="M93" s="79" t="s">
        <v>871</v>
      </c>
    </row>
    <row r="94" ht="17.25" customHeight="1">
      <c r="A94" s="74">
        <v>93.0</v>
      </c>
      <c r="B94" s="74" t="s">
        <v>872</v>
      </c>
      <c r="C94" s="75" t="s">
        <v>873</v>
      </c>
      <c r="D94" s="74" t="s">
        <v>418</v>
      </c>
      <c r="E94" s="74" t="s">
        <v>425</v>
      </c>
      <c r="F94" s="74" t="s">
        <v>431</v>
      </c>
      <c r="G94" s="74" t="s">
        <v>19</v>
      </c>
      <c r="H94" s="76" t="s">
        <v>813</v>
      </c>
      <c r="I94" s="77"/>
      <c r="J94" s="78" t="s">
        <v>874</v>
      </c>
      <c r="K94" s="74">
        <v>7.878532144E9</v>
      </c>
      <c r="L94" s="79" t="s">
        <v>875</v>
      </c>
      <c r="M94" s="79" t="s">
        <v>876</v>
      </c>
    </row>
    <row r="95" ht="17.25" customHeight="1">
      <c r="A95" s="74">
        <v>94.0</v>
      </c>
      <c r="B95" s="74" t="s">
        <v>877</v>
      </c>
      <c r="C95" s="75" t="s">
        <v>878</v>
      </c>
      <c r="D95" s="74" t="s">
        <v>418</v>
      </c>
      <c r="E95" s="74" t="s">
        <v>425</v>
      </c>
      <c r="F95" s="74" t="s">
        <v>431</v>
      </c>
      <c r="G95" s="74" t="s">
        <v>19</v>
      </c>
      <c r="H95" s="76" t="s">
        <v>813</v>
      </c>
      <c r="I95" s="77"/>
      <c r="J95" s="78" t="s">
        <v>879</v>
      </c>
      <c r="K95" s="74">
        <v>9.828209322E9</v>
      </c>
      <c r="L95" s="79" t="s">
        <v>880</v>
      </c>
      <c r="M95" s="79" t="s">
        <v>881</v>
      </c>
    </row>
    <row r="96" ht="17.25" customHeight="1">
      <c r="A96" s="74">
        <v>95.0</v>
      </c>
      <c r="B96" s="74" t="s">
        <v>882</v>
      </c>
      <c r="C96" s="75" t="s">
        <v>883</v>
      </c>
      <c r="D96" s="74" t="s">
        <v>418</v>
      </c>
      <c r="E96" s="74" t="s">
        <v>464</v>
      </c>
      <c r="F96" s="74" t="s">
        <v>884</v>
      </c>
      <c r="G96" s="74" t="s">
        <v>19</v>
      </c>
      <c r="H96" s="76" t="s">
        <v>813</v>
      </c>
      <c r="I96" s="77"/>
      <c r="J96" s="78" t="s">
        <v>885</v>
      </c>
      <c r="K96" s="74">
        <v>8.955360298E9</v>
      </c>
      <c r="L96" s="79" t="s">
        <v>886</v>
      </c>
      <c r="M96" s="79" t="s">
        <v>887</v>
      </c>
    </row>
    <row r="97" ht="17.25" customHeight="1">
      <c r="A97" s="74">
        <v>96.0</v>
      </c>
      <c r="B97" s="74" t="s">
        <v>888</v>
      </c>
      <c r="C97" s="75" t="s">
        <v>889</v>
      </c>
      <c r="D97" s="74" t="s">
        <v>430</v>
      </c>
      <c r="E97" s="74" t="s">
        <v>501</v>
      </c>
      <c r="F97" s="74" t="s">
        <v>502</v>
      </c>
      <c r="G97" s="74" t="s">
        <v>19</v>
      </c>
      <c r="H97" s="76" t="s">
        <v>813</v>
      </c>
      <c r="I97" s="77"/>
      <c r="J97" s="78" t="s">
        <v>890</v>
      </c>
      <c r="K97" s="74">
        <v>9.024822861E9</v>
      </c>
      <c r="L97" s="79" t="s">
        <v>891</v>
      </c>
      <c r="M97" s="79" t="s">
        <v>892</v>
      </c>
    </row>
    <row r="98" ht="17.25" customHeight="1">
      <c r="A98" s="74">
        <v>97.0</v>
      </c>
      <c r="B98" s="74" t="s">
        <v>893</v>
      </c>
      <c r="C98" s="75" t="s">
        <v>894</v>
      </c>
      <c r="D98" s="74" t="s">
        <v>430</v>
      </c>
      <c r="E98" s="74" t="s">
        <v>553</v>
      </c>
      <c r="F98" s="74" t="s">
        <v>587</v>
      </c>
      <c r="G98" s="74" t="s">
        <v>19</v>
      </c>
      <c r="H98" s="76" t="s">
        <v>813</v>
      </c>
      <c r="I98" s="77"/>
      <c r="J98" s="78" t="s">
        <v>895</v>
      </c>
      <c r="K98" s="74">
        <v>7.849815191E9</v>
      </c>
      <c r="L98" s="79" t="s">
        <v>896</v>
      </c>
      <c r="M98" s="79" t="s">
        <v>897</v>
      </c>
    </row>
    <row r="99" ht="17.25" customHeight="1">
      <c r="A99" s="74">
        <v>98.0</v>
      </c>
      <c r="B99" s="74" t="s">
        <v>898</v>
      </c>
      <c r="C99" s="75" t="s">
        <v>899</v>
      </c>
      <c r="D99" s="74" t="s">
        <v>469</v>
      </c>
      <c r="E99" s="74" t="s">
        <v>419</v>
      </c>
      <c r="F99" s="74" t="s">
        <v>531</v>
      </c>
      <c r="G99" s="74" t="s">
        <v>20</v>
      </c>
      <c r="H99" s="76" t="s">
        <v>813</v>
      </c>
      <c r="I99" s="77"/>
      <c r="J99" s="78" t="s">
        <v>900</v>
      </c>
      <c r="K99" s="74">
        <v>7.799881206E9</v>
      </c>
      <c r="L99" s="79" t="s">
        <v>901</v>
      </c>
      <c r="M99" s="79" t="s">
        <v>902</v>
      </c>
    </row>
    <row r="100" ht="17.25" customHeight="1">
      <c r="A100" s="74">
        <v>99.0</v>
      </c>
      <c r="B100" s="74" t="s">
        <v>903</v>
      </c>
      <c r="C100" s="75" t="s">
        <v>904</v>
      </c>
      <c r="D100" s="74" t="s">
        <v>513</v>
      </c>
      <c r="E100" s="74" t="s">
        <v>905</v>
      </c>
      <c r="F100" s="74" t="s">
        <v>431</v>
      </c>
      <c r="G100" s="74" t="s">
        <v>20</v>
      </c>
      <c r="H100" s="76" t="s">
        <v>813</v>
      </c>
      <c r="I100" s="77"/>
      <c r="J100" s="78" t="s">
        <v>906</v>
      </c>
      <c r="K100" s="74">
        <v>7.357548737E9</v>
      </c>
      <c r="L100" s="79" t="s">
        <v>907</v>
      </c>
      <c r="M100" s="79" t="s">
        <v>908</v>
      </c>
    </row>
    <row r="101" ht="17.25" customHeight="1">
      <c r="A101" s="74">
        <v>100.0</v>
      </c>
      <c r="B101" s="74" t="s">
        <v>909</v>
      </c>
      <c r="C101" s="75" t="s">
        <v>910</v>
      </c>
      <c r="D101" s="74" t="s">
        <v>418</v>
      </c>
      <c r="E101" s="74" t="s">
        <v>425</v>
      </c>
      <c r="F101" s="74" t="s">
        <v>564</v>
      </c>
      <c r="G101" s="74" t="s">
        <v>18</v>
      </c>
      <c r="H101" s="76" t="s">
        <v>911</v>
      </c>
      <c r="I101" s="77"/>
      <c r="J101" s="78" t="s">
        <v>912</v>
      </c>
      <c r="K101" s="74">
        <v>9.414696844E9</v>
      </c>
      <c r="L101" s="79" t="s">
        <v>913</v>
      </c>
      <c r="M101" s="79" t="s">
        <v>914</v>
      </c>
    </row>
    <row r="102" ht="17.25" customHeight="1">
      <c r="A102" s="74">
        <v>101.0</v>
      </c>
      <c r="B102" s="74" t="s">
        <v>915</v>
      </c>
      <c r="C102" s="75" t="s">
        <v>916</v>
      </c>
      <c r="D102" s="74" t="s">
        <v>418</v>
      </c>
      <c r="E102" s="74" t="s">
        <v>425</v>
      </c>
      <c r="F102" s="74" t="s">
        <v>431</v>
      </c>
      <c r="G102" s="74" t="s">
        <v>18</v>
      </c>
      <c r="H102" s="76" t="s">
        <v>917</v>
      </c>
      <c r="I102" s="77"/>
      <c r="J102" s="78" t="s">
        <v>918</v>
      </c>
      <c r="K102" s="74">
        <v>8.739972907E9</v>
      </c>
      <c r="L102" s="79" t="s">
        <v>919</v>
      </c>
      <c r="M102" s="79" t="s">
        <v>920</v>
      </c>
    </row>
    <row r="103" ht="17.25" customHeight="1">
      <c r="A103" s="74">
        <v>102.0</v>
      </c>
      <c r="B103" s="74" t="s">
        <v>921</v>
      </c>
      <c r="C103" s="75" t="s">
        <v>922</v>
      </c>
      <c r="D103" s="74" t="s">
        <v>418</v>
      </c>
      <c r="E103" s="74" t="s">
        <v>425</v>
      </c>
      <c r="F103" s="74" t="s">
        <v>564</v>
      </c>
      <c r="G103" s="74" t="s">
        <v>18</v>
      </c>
      <c r="H103" s="80" t="s">
        <v>917</v>
      </c>
      <c r="I103" s="77"/>
      <c r="J103" s="78" t="s">
        <v>923</v>
      </c>
      <c r="K103" s="74">
        <v>9.680395121E9</v>
      </c>
      <c r="L103" s="81"/>
      <c r="M103" s="81"/>
    </row>
    <row r="104" ht="17.25" customHeight="1">
      <c r="A104" s="74">
        <v>103.0</v>
      </c>
      <c r="B104" s="74" t="s">
        <v>924</v>
      </c>
      <c r="C104" s="75" t="s">
        <v>925</v>
      </c>
      <c r="D104" s="74" t="s">
        <v>418</v>
      </c>
      <c r="E104" s="74" t="s">
        <v>425</v>
      </c>
      <c r="F104" s="74" t="s">
        <v>531</v>
      </c>
      <c r="G104" s="74" t="s">
        <v>18</v>
      </c>
      <c r="H104" s="76" t="s">
        <v>917</v>
      </c>
      <c r="I104" s="77"/>
      <c r="J104" s="78" t="s">
        <v>926</v>
      </c>
      <c r="K104" s="74">
        <v>8.52979473E9</v>
      </c>
      <c r="L104" s="79" t="s">
        <v>927</v>
      </c>
      <c r="M104" s="79" t="s">
        <v>928</v>
      </c>
    </row>
    <row r="105" ht="17.25" customHeight="1">
      <c r="A105" s="74">
        <v>104.0</v>
      </c>
      <c r="B105" s="74" t="s">
        <v>929</v>
      </c>
      <c r="C105" s="75" t="s">
        <v>930</v>
      </c>
      <c r="D105" s="74" t="s">
        <v>430</v>
      </c>
      <c r="E105" s="74" t="s">
        <v>464</v>
      </c>
      <c r="F105" s="74" t="s">
        <v>431</v>
      </c>
      <c r="G105" s="74" t="s">
        <v>18</v>
      </c>
      <c r="H105" s="76" t="s">
        <v>917</v>
      </c>
      <c r="I105" s="77"/>
      <c r="J105" s="78" t="s">
        <v>931</v>
      </c>
      <c r="K105" s="74">
        <v>6.3674037E9</v>
      </c>
      <c r="L105" s="79" t="s">
        <v>932</v>
      </c>
      <c r="M105" s="79" t="s">
        <v>933</v>
      </c>
    </row>
    <row r="106" ht="17.25" customHeight="1">
      <c r="A106" s="74">
        <v>105.0</v>
      </c>
      <c r="B106" s="74" t="s">
        <v>934</v>
      </c>
      <c r="C106" s="75" t="s">
        <v>935</v>
      </c>
      <c r="D106" s="74" t="s">
        <v>430</v>
      </c>
      <c r="E106" s="74" t="s">
        <v>464</v>
      </c>
      <c r="F106" s="74" t="s">
        <v>431</v>
      </c>
      <c r="G106" s="74" t="s">
        <v>18</v>
      </c>
      <c r="H106" s="76" t="s">
        <v>917</v>
      </c>
      <c r="I106" s="77"/>
      <c r="J106" s="78" t="s">
        <v>936</v>
      </c>
      <c r="K106" s="74">
        <v>7.877357269E9</v>
      </c>
      <c r="L106" s="79" t="s">
        <v>937</v>
      </c>
      <c r="M106" s="79" t="s">
        <v>938</v>
      </c>
    </row>
    <row r="107" ht="17.25" customHeight="1">
      <c r="A107" s="74">
        <v>106.0</v>
      </c>
      <c r="B107" s="74" t="s">
        <v>939</v>
      </c>
      <c r="C107" s="75" t="s">
        <v>940</v>
      </c>
      <c r="D107" s="74" t="s">
        <v>430</v>
      </c>
      <c r="E107" s="74" t="s">
        <v>464</v>
      </c>
      <c r="F107" s="74" t="s">
        <v>431</v>
      </c>
      <c r="G107" s="74" t="s">
        <v>18</v>
      </c>
      <c r="H107" s="76" t="s">
        <v>917</v>
      </c>
      <c r="I107" s="77"/>
      <c r="J107" s="78" t="s">
        <v>941</v>
      </c>
      <c r="K107" s="74">
        <v>9.928563601E9</v>
      </c>
      <c r="L107" s="79" t="s">
        <v>942</v>
      </c>
      <c r="M107" s="79" t="s">
        <v>943</v>
      </c>
    </row>
    <row r="108" ht="17.25" customHeight="1">
      <c r="A108" s="74">
        <v>107.0</v>
      </c>
      <c r="B108" s="74" t="s">
        <v>944</v>
      </c>
      <c r="C108" s="75" t="s">
        <v>945</v>
      </c>
      <c r="D108" s="74" t="s">
        <v>418</v>
      </c>
      <c r="E108" s="74" t="s">
        <v>501</v>
      </c>
      <c r="F108" s="74" t="s">
        <v>502</v>
      </c>
      <c r="G108" s="74" t="s">
        <v>19</v>
      </c>
      <c r="H108" s="76" t="s">
        <v>917</v>
      </c>
      <c r="I108" s="77"/>
      <c r="J108" s="78" t="s">
        <v>946</v>
      </c>
      <c r="K108" s="74">
        <v>8.239792811E9</v>
      </c>
      <c r="L108" s="79" t="s">
        <v>947</v>
      </c>
      <c r="M108" s="79" t="s">
        <v>948</v>
      </c>
    </row>
    <row r="109" ht="17.25" customHeight="1">
      <c r="A109" s="74">
        <v>108.0</v>
      </c>
      <c r="B109" s="74" t="s">
        <v>949</v>
      </c>
      <c r="C109" s="75" t="s">
        <v>950</v>
      </c>
      <c r="D109" s="74" t="s">
        <v>418</v>
      </c>
      <c r="E109" s="74" t="s">
        <v>501</v>
      </c>
      <c r="F109" s="74" t="s">
        <v>502</v>
      </c>
      <c r="G109" s="74" t="s">
        <v>19</v>
      </c>
      <c r="H109" s="76" t="s">
        <v>917</v>
      </c>
      <c r="I109" s="77"/>
      <c r="J109" s="78" t="s">
        <v>951</v>
      </c>
      <c r="K109" s="74">
        <v>6.375828631E9</v>
      </c>
      <c r="L109" s="79" t="s">
        <v>952</v>
      </c>
      <c r="M109" s="79" t="s">
        <v>953</v>
      </c>
    </row>
    <row r="110" ht="17.25" customHeight="1">
      <c r="A110" s="74">
        <v>109.0</v>
      </c>
      <c r="B110" s="74" t="s">
        <v>954</v>
      </c>
      <c r="C110" s="75" t="s">
        <v>955</v>
      </c>
      <c r="D110" s="74" t="s">
        <v>513</v>
      </c>
      <c r="E110" s="74" t="s">
        <v>425</v>
      </c>
      <c r="F110" s="74" t="s">
        <v>431</v>
      </c>
      <c r="G110" s="74" t="s">
        <v>20</v>
      </c>
      <c r="H110" s="76" t="s">
        <v>917</v>
      </c>
      <c r="I110" s="77"/>
      <c r="J110" s="78" t="s">
        <v>956</v>
      </c>
      <c r="K110" s="74">
        <v>7.97636749E9</v>
      </c>
      <c r="L110" s="79" t="s">
        <v>957</v>
      </c>
      <c r="M110" s="79" t="s">
        <v>958</v>
      </c>
    </row>
    <row r="111" ht="17.25" customHeight="1">
      <c r="A111" s="74">
        <v>110.0</v>
      </c>
      <c r="B111" s="74" t="s">
        <v>959</v>
      </c>
      <c r="C111" s="75" t="s">
        <v>960</v>
      </c>
      <c r="D111" s="74" t="s">
        <v>513</v>
      </c>
      <c r="E111" s="74" t="s">
        <v>425</v>
      </c>
      <c r="F111" s="74" t="s">
        <v>531</v>
      </c>
      <c r="G111" s="74" t="s">
        <v>20</v>
      </c>
      <c r="H111" s="76" t="s">
        <v>917</v>
      </c>
      <c r="I111" s="77"/>
      <c r="J111" s="78" t="s">
        <v>961</v>
      </c>
      <c r="K111" s="74">
        <v>7.878252435E9</v>
      </c>
      <c r="L111" s="79" t="s">
        <v>962</v>
      </c>
      <c r="M111" s="79" t="s">
        <v>963</v>
      </c>
    </row>
    <row r="112" ht="17.25" customHeight="1">
      <c r="A112" s="74">
        <v>111.0</v>
      </c>
      <c r="B112" s="74" t="s">
        <v>964</v>
      </c>
      <c r="C112" s="75" t="s">
        <v>965</v>
      </c>
      <c r="D112" s="74" t="s">
        <v>513</v>
      </c>
      <c r="E112" s="74" t="s">
        <v>425</v>
      </c>
      <c r="F112" s="74" t="s">
        <v>531</v>
      </c>
      <c r="G112" s="74" t="s">
        <v>20</v>
      </c>
      <c r="H112" s="76" t="s">
        <v>917</v>
      </c>
      <c r="I112" s="77"/>
      <c r="J112" s="78" t="s">
        <v>966</v>
      </c>
      <c r="K112" s="74">
        <v>9.0010994E9</v>
      </c>
      <c r="L112" s="79" t="s">
        <v>967</v>
      </c>
      <c r="M112" s="79" t="s">
        <v>968</v>
      </c>
    </row>
    <row r="113" ht="17.25" customHeight="1">
      <c r="A113" s="74">
        <v>112.0</v>
      </c>
      <c r="B113" s="74" t="s">
        <v>969</v>
      </c>
      <c r="C113" s="75" t="s">
        <v>970</v>
      </c>
      <c r="D113" s="74" t="s">
        <v>513</v>
      </c>
      <c r="E113" s="74" t="s">
        <v>425</v>
      </c>
      <c r="F113" s="74" t="s">
        <v>587</v>
      </c>
      <c r="G113" s="74" t="s">
        <v>20</v>
      </c>
      <c r="H113" s="76" t="s">
        <v>917</v>
      </c>
      <c r="I113" s="77"/>
      <c r="J113" s="78" t="s">
        <v>971</v>
      </c>
      <c r="K113" s="74">
        <v>7.56879369E9</v>
      </c>
      <c r="L113" s="79" t="s">
        <v>972</v>
      </c>
      <c r="M113" s="79" t="s">
        <v>973</v>
      </c>
    </row>
    <row r="114" ht="17.25" customHeight="1">
      <c r="A114" s="74">
        <v>113.0</v>
      </c>
      <c r="B114" s="74" t="s">
        <v>974</v>
      </c>
      <c r="C114" s="75" t="s">
        <v>975</v>
      </c>
      <c r="D114" s="74" t="s">
        <v>513</v>
      </c>
      <c r="E114" s="74" t="s">
        <v>419</v>
      </c>
      <c r="F114" s="74" t="s">
        <v>531</v>
      </c>
      <c r="G114" s="74" t="s">
        <v>20</v>
      </c>
      <c r="H114" s="80" t="s">
        <v>917</v>
      </c>
      <c r="I114" s="77"/>
      <c r="J114" s="78" t="s">
        <v>976</v>
      </c>
      <c r="K114" s="74">
        <v>7.874274631E9</v>
      </c>
      <c r="L114" s="81"/>
      <c r="M114" s="81"/>
    </row>
    <row r="115" ht="17.25" customHeight="1">
      <c r="A115" s="74">
        <v>114.0</v>
      </c>
      <c r="B115" s="74" t="s">
        <v>977</v>
      </c>
      <c r="C115" s="75" t="s">
        <v>978</v>
      </c>
      <c r="D115" s="74" t="s">
        <v>513</v>
      </c>
      <c r="E115" s="74" t="s">
        <v>905</v>
      </c>
      <c r="F115" s="74" t="s">
        <v>431</v>
      </c>
      <c r="G115" s="74" t="s">
        <v>20</v>
      </c>
      <c r="H115" s="76" t="s">
        <v>917</v>
      </c>
      <c r="I115" s="77"/>
      <c r="J115" s="78" t="s">
        <v>979</v>
      </c>
      <c r="K115" s="74">
        <v>9.660818758E9</v>
      </c>
      <c r="L115" s="79" t="s">
        <v>980</v>
      </c>
      <c r="M115" s="79" t="s">
        <v>981</v>
      </c>
    </row>
    <row r="116" ht="17.25" customHeight="1">
      <c r="A116" s="74">
        <v>115.0</v>
      </c>
      <c r="B116" s="74" t="s">
        <v>982</v>
      </c>
      <c r="C116" s="75" t="s">
        <v>983</v>
      </c>
      <c r="D116" s="74" t="s">
        <v>430</v>
      </c>
      <c r="E116" s="74" t="s">
        <v>425</v>
      </c>
      <c r="F116" s="74" t="s">
        <v>431</v>
      </c>
      <c r="G116" s="74" t="s">
        <v>18</v>
      </c>
      <c r="H116" s="76" t="s">
        <v>917</v>
      </c>
      <c r="I116" s="77"/>
      <c r="J116" s="78" t="s">
        <v>984</v>
      </c>
      <c r="K116" s="74">
        <v>9.610088704E9</v>
      </c>
      <c r="L116" s="79" t="s">
        <v>985</v>
      </c>
      <c r="M116" s="79" t="s">
        <v>986</v>
      </c>
    </row>
    <row r="117" ht="17.25" customHeight="1">
      <c r="A117" s="74">
        <v>116.0</v>
      </c>
      <c r="B117" s="74" t="s">
        <v>987</v>
      </c>
      <c r="C117" s="75" t="s">
        <v>988</v>
      </c>
      <c r="D117" s="74" t="s">
        <v>418</v>
      </c>
      <c r="E117" s="74" t="s">
        <v>524</v>
      </c>
      <c r="F117" s="74" t="s">
        <v>431</v>
      </c>
      <c r="G117" s="74" t="s">
        <v>18</v>
      </c>
      <c r="H117" s="76" t="s">
        <v>989</v>
      </c>
      <c r="I117" s="77"/>
      <c r="J117" s="78" t="s">
        <v>990</v>
      </c>
      <c r="K117" s="74">
        <v>8.890430892E9</v>
      </c>
      <c r="L117" s="79" t="s">
        <v>991</v>
      </c>
      <c r="M117" s="79" t="s">
        <v>992</v>
      </c>
    </row>
    <row r="118" ht="17.25" customHeight="1">
      <c r="A118" s="74">
        <v>117.0</v>
      </c>
      <c r="B118" s="74" t="s">
        <v>993</v>
      </c>
      <c r="C118" s="75" t="s">
        <v>994</v>
      </c>
      <c r="D118" s="74" t="s">
        <v>418</v>
      </c>
      <c r="E118" s="74" t="s">
        <v>425</v>
      </c>
      <c r="F118" s="74" t="s">
        <v>564</v>
      </c>
      <c r="G118" s="74" t="s">
        <v>19</v>
      </c>
      <c r="H118" s="76" t="s">
        <v>989</v>
      </c>
      <c r="I118" s="77"/>
      <c r="J118" s="78" t="s">
        <v>995</v>
      </c>
      <c r="K118" s="74">
        <v>6.376325349E9</v>
      </c>
      <c r="L118" s="79" t="s">
        <v>996</v>
      </c>
      <c r="M118" s="79" t="s">
        <v>997</v>
      </c>
    </row>
    <row r="119" ht="17.25" customHeight="1">
      <c r="A119" s="74">
        <v>118.0</v>
      </c>
      <c r="B119" s="74" t="s">
        <v>998</v>
      </c>
      <c r="C119" s="75" t="s">
        <v>999</v>
      </c>
      <c r="D119" s="74" t="s">
        <v>418</v>
      </c>
      <c r="E119" s="74" t="s">
        <v>425</v>
      </c>
      <c r="F119" s="74" t="s">
        <v>564</v>
      </c>
      <c r="G119" s="74" t="s">
        <v>19</v>
      </c>
      <c r="H119" s="76" t="s">
        <v>989</v>
      </c>
      <c r="I119" s="77"/>
      <c r="J119" s="78" t="s">
        <v>1000</v>
      </c>
      <c r="K119" s="74">
        <v>9.351754044E9</v>
      </c>
      <c r="L119" s="79" t="s">
        <v>1001</v>
      </c>
      <c r="M119" s="79" t="s">
        <v>1002</v>
      </c>
    </row>
    <row r="120" ht="17.25" customHeight="1">
      <c r="A120" s="74">
        <v>119.0</v>
      </c>
      <c r="B120" s="74" t="s">
        <v>1003</v>
      </c>
      <c r="C120" s="75" t="s">
        <v>1004</v>
      </c>
      <c r="D120" s="74" t="s">
        <v>513</v>
      </c>
      <c r="E120" s="74" t="s">
        <v>419</v>
      </c>
      <c r="F120" s="74" t="s">
        <v>531</v>
      </c>
      <c r="G120" s="74" t="s">
        <v>20</v>
      </c>
      <c r="H120" s="76" t="s">
        <v>989</v>
      </c>
      <c r="I120" s="77"/>
      <c r="J120" s="78" t="s">
        <v>1005</v>
      </c>
      <c r="K120" s="74">
        <v>8.000642019E9</v>
      </c>
      <c r="L120" s="79" t="s">
        <v>1006</v>
      </c>
      <c r="M120" s="79" t="s">
        <v>1007</v>
      </c>
    </row>
    <row r="121" ht="17.25" customHeight="1">
      <c r="A121" s="82"/>
      <c r="B121" s="82"/>
      <c r="C121" s="82"/>
      <c r="D121" s="82"/>
      <c r="E121" s="82"/>
      <c r="F121" s="82"/>
      <c r="G121" s="82"/>
      <c r="H121" s="83"/>
      <c r="I121" s="84"/>
      <c r="J121" s="85"/>
      <c r="K121" s="82"/>
      <c r="L121" s="82"/>
      <c r="M121" s="82"/>
    </row>
    <row r="122" ht="17.25" customHeight="1">
      <c r="A122" s="82"/>
      <c r="B122" s="82"/>
      <c r="C122" s="82"/>
      <c r="D122" s="82"/>
      <c r="E122" s="82"/>
      <c r="F122" s="82"/>
      <c r="G122" s="82"/>
      <c r="H122" s="83"/>
      <c r="I122" s="84"/>
      <c r="J122" s="85"/>
      <c r="K122" s="82"/>
      <c r="L122" s="82"/>
      <c r="M122" s="82"/>
    </row>
    <row r="123" ht="17.25" customHeight="1">
      <c r="A123" s="82"/>
      <c r="B123" s="82"/>
      <c r="C123" s="82"/>
      <c r="D123" s="82"/>
      <c r="E123" s="82"/>
      <c r="F123" s="82"/>
      <c r="G123" s="82"/>
      <c r="H123" s="83"/>
      <c r="I123" s="84"/>
      <c r="J123" s="85"/>
      <c r="K123" s="82"/>
      <c r="L123" s="82"/>
      <c r="M123" s="82"/>
    </row>
    <row r="124" ht="17.25" customHeight="1">
      <c r="A124" s="82"/>
      <c r="B124" s="82"/>
      <c r="C124" s="82"/>
      <c r="D124" s="82"/>
      <c r="E124" s="82"/>
      <c r="F124" s="82"/>
      <c r="G124" s="82"/>
      <c r="H124" s="83"/>
      <c r="I124" s="84"/>
      <c r="J124" s="85"/>
      <c r="K124" s="82"/>
      <c r="L124" s="82"/>
      <c r="M124" s="82"/>
    </row>
    <row r="125" ht="17.25" customHeight="1">
      <c r="A125" s="82"/>
      <c r="B125" s="82"/>
      <c r="C125" s="82"/>
      <c r="D125" s="82"/>
      <c r="E125" s="82"/>
      <c r="F125" s="82"/>
      <c r="G125" s="82"/>
      <c r="H125" s="83"/>
      <c r="I125" s="84"/>
      <c r="J125" s="85"/>
      <c r="K125" s="82"/>
      <c r="L125" s="82"/>
      <c r="M125" s="82"/>
    </row>
    <row r="126" ht="17.25" customHeight="1">
      <c r="A126" s="82"/>
      <c r="B126" s="82"/>
      <c r="C126" s="82"/>
      <c r="D126" s="82"/>
      <c r="E126" s="82"/>
      <c r="F126" s="82"/>
      <c r="G126" s="82"/>
      <c r="H126" s="83"/>
      <c r="I126" s="84"/>
      <c r="J126" s="85"/>
      <c r="K126" s="82"/>
      <c r="L126" s="82"/>
      <c r="M126" s="82"/>
    </row>
    <row r="127" ht="17.25" customHeight="1">
      <c r="A127" s="82"/>
      <c r="B127" s="82"/>
      <c r="C127" s="82"/>
      <c r="D127" s="82"/>
      <c r="E127" s="82"/>
      <c r="F127" s="82"/>
      <c r="G127" s="82"/>
      <c r="H127" s="83"/>
      <c r="I127" s="84"/>
      <c r="J127" s="85"/>
      <c r="K127" s="82"/>
      <c r="L127" s="82"/>
      <c r="M127" s="82"/>
    </row>
    <row r="128" ht="17.25" customHeight="1">
      <c r="A128" s="82"/>
      <c r="B128" s="82"/>
      <c r="C128" s="82"/>
      <c r="D128" s="82"/>
      <c r="E128" s="82"/>
      <c r="F128" s="82"/>
      <c r="G128" s="82"/>
      <c r="H128" s="83"/>
      <c r="I128" s="84"/>
      <c r="J128" s="85"/>
      <c r="K128" s="82"/>
      <c r="L128" s="82"/>
      <c r="M128" s="82"/>
    </row>
    <row r="129" ht="17.25" customHeight="1">
      <c r="A129" s="82"/>
      <c r="B129" s="82"/>
      <c r="C129" s="82"/>
      <c r="D129" s="82"/>
      <c r="E129" s="82"/>
      <c r="F129" s="82"/>
      <c r="G129" s="82"/>
      <c r="H129" s="83"/>
      <c r="I129" s="84"/>
      <c r="J129" s="85"/>
      <c r="K129" s="82"/>
      <c r="L129" s="82"/>
      <c r="M129" s="82"/>
    </row>
    <row r="130" ht="17.25" customHeight="1">
      <c r="A130" s="82"/>
      <c r="B130" s="82"/>
      <c r="C130" s="82"/>
      <c r="D130" s="82"/>
      <c r="E130" s="82"/>
      <c r="F130" s="82"/>
      <c r="G130" s="82"/>
      <c r="H130" s="83"/>
      <c r="I130" s="84"/>
      <c r="J130" s="85"/>
      <c r="K130" s="82"/>
      <c r="L130" s="82"/>
      <c r="M130" s="82"/>
    </row>
    <row r="131" ht="17.25" customHeight="1">
      <c r="A131" s="82"/>
      <c r="B131" s="82"/>
      <c r="C131" s="82"/>
      <c r="D131" s="82"/>
      <c r="E131" s="82"/>
      <c r="F131" s="82"/>
      <c r="G131" s="82"/>
      <c r="H131" s="83"/>
      <c r="I131" s="84"/>
      <c r="J131" s="85"/>
      <c r="K131" s="82"/>
      <c r="L131" s="82"/>
      <c r="M131" s="82"/>
    </row>
    <row r="132" ht="17.25" customHeight="1">
      <c r="A132" s="82"/>
      <c r="B132" s="82"/>
      <c r="C132" s="82"/>
      <c r="D132" s="82"/>
      <c r="E132" s="82"/>
      <c r="F132" s="82"/>
      <c r="G132" s="82"/>
      <c r="H132" s="83"/>
      <c r="I132" s="84"/>
      <c r="J132" s="85"/>
      <c r="K132" s="82"/>
      <c r="L132" s="82"/>
      <c r="M132" s="82"/>
    </row>
    <row r="133" ht="17.25" customHeight="1">
      <c r="A133" s="82"/>
      <c r="B133" s="82"/>
      <c r="C133" s="82"/>
      <c r="D133" s="82"/>
      <c r="E133" s="82"/>
      <c r="F133" s="82"/>
      <c r="G133" s="82"/>
      <c r="H133" s="83"/>
      <c r="I133" s="84"/>
      <c r="J133" s="85"/>
      <c r="K133" s="82"/>
      <c r="L133" s="82"/>
      <c r="M133" s="82"/>
    </row>
    <row r="134" ht="17.25" customHeight="1">
      <c r="A134" s="82"/>
      <c r="B134" s="82"/>
      <c r="C134" s="82"/>
      <c r="D134" s="82"/>
      <c r="E134" s="82"/>
      <c r="F134" s="82"/>
      <c r="G134" s="82"/>
      <c r="H134" s="83"/>
      <c r="I134" s="84"/>
      <c r="J134" s="85"/>
      <c r="K134" s="82"/>
      <c r="L134" s="82"/>
      <c r="M134" s="82"/>
    </row>
    <row r="135" ht="17.25" customHeight="1">
      <c r="A135" s="82"/>
      <c r="B135" s="82"/>
      <c r="C135" s="82"/>
      <c r="D135" s="82"/>
      <c r="E135" s="82"/>
      <c r="F135" s="82"/>
      <c r="G135" s="82"/>
      <c r="H135" s="83"/>
      <c r="I135" s="84"/>
      <c r="J135" s="85"/>
      <c r="K135" s="82"/>
      <c r="L135" s="82"/>
      <c r="M135" s="82"/>
    </row>
    <row r="136" ht="17.25" customHeight="1">
      <c r="A136" s="82"/>
      <c r="B136" s="82"/>
      <c r="C136" s="82"/>
      <c r="D136" s="82"/>
      <c r="E136" s="82"/>
      <c r="F136" s="82"/>
      <c r="G136" s="82"/>
      <c r="H136" s="83"/>
      <c r="I136" s="84"/>
      <c r="J136" s="85"/>
      <c r="K136" s="82"/>
      <c r="L136" s="82"/>
      <c r="M136" s="82"/>
    </row>
    <row r="137" ht="17.25" customHeight="1">
      <c r="A137" s="82"/>
      <c r="B137" s="82"/>
      <c r="C137" s="82"/>
      <c r="D137" s="82"/>
      <c r="E137" s="82"/>
      <c r="F137" s="82"/>
      <c r="G137" s="82"/>
      <c r="H137" s="83"/>
      <c r="I137" s="84"/>
      <c r="J137" s="85"/>
      <c r="K137" s="82"/>
      <c r="L137" s="82"/>
      <c r="M137" s="82"/>
    </row>
    <row r="138" ht="17.25" customHeight="1">
      <c r="A138" s="82"/>
      <c r="B138" s="82"/>
      <c r="C138" s="82"/>
      <c r="D138" s="82"/>
      <c r="E138" s="82"/>
      <c r="F138" s="82"/>
      <c r="G138" s="82"/>
      <c r="H138" s="83"/>
      <c r="I138" s="84"/>
      <c r="J138" s="85"/>
      <c r="K138" s="82"/>
      <c r="L138" s="82"/>
      <c r="M138" s="82"/>
    </row>
    <row r="139" ht="17.25" customHeight="1">
      <c r="A139" s="82"/>
      <c r="B139" s="82"/>
      <c r="C139" s="82"/>
      <c r="D139" s="82"/>
      <c r="E139" s="82"/>
      <c r="F139" s="82"/>
      <c r="G139" s="82"/>
      <c r="H139" s="83"/>
      <c r="I139" s="84"/>
      <c r="J139" s="85"/>
      <c r="K139" s="82"/>
      <c r="L139" s="82"/>
      <c r="M139" s="82"/>
    </row>
    <row r="140" ht="17.25" customHeight="1">
      <c r="A140" s="82"/>
      <c r="B140" s="82"/>
      <c r="C140" s="82"/>
      <c r="D140" s="82"/>
      <c r="E140" s="82"/>
      <c r="F140" s="82"/>
      <c r="G140" s="82"/>
      <c r="H140" s="83"/>
      <c r="I140" s="84"/>
      <c r="J140" s="85"/>
      <c r="K140" s="82"/>
      <c r="L140" s="82"/>
      <c r="M140" s="82"/>
    </row>
    <row r="141" ht="17.25" customHeight="1">
      <c r="A141" s="82"/>
      <c r="B141" s="82"/>
      <c r="C141" s="82"/>
      <c r="D141" s="82"/>
      <c r="E141" s="82"/>
      <c r="F141" s="82"/>
      <c r="G141" s="82"/>
      <c r="H141" s="83"/>
      <c r="I141" s="84"/>
      <c r="J141" s="85"/>
      <c r="K141" s="82"/>
      <c r="L141" s="82"/>
      <c r="M141" s="82"/>
    </row>
    <row r="142" ht="17.25" customHeight="1">
      <c r="A142" s="82"/>
      <c r="B142" s="82"/>
      <c r="C142" s="82"/>
      <c r="D142" s="82"/>
      <c r="E142" s="82"/>
      <c r="F142" s="82"/>
      <c r="G142" s="82"/>
      <c r="H142" s="83"/>
      <c r="I142" s="84"/>
      <c r="J142" s="85"/>
      <c r="K142" s="82"/>
      <c r="L142" s="82"/>
      <c r="M142" s="82"/>
    </row>
    <row r="143" ht="17.25" customHeight="1">
      <c r="A143" s="82"/>
      <c r="B143" s="82"/>
      <c r="C143" s="82"/>
      <c r="D143" s="82"/>
      <c r="E143" s="82"/>
      <c r="F143" s="82"/>
      <c r="G143" s="82"/>
      <c r="H143" s="83"/>
      <c r="I143" s="84"/>
      <c r="J143" s="85"/>
      <c r="K143" s="82"/>
      <c r="L143" s="82"/>
      <c r="M143" s="82"/>
    </row>
    <row r="144" ht="17.25" customHeight="1">
      <c r="A144" s="82"/>
      <c r="B144" s="82"/>
      <c r="C144" s="82"/>
      <c r="D144" s="82"/>
      <c r="E144" s="82"/>
      <c r="F144" s="82"/>
      <c r="G144" s="82"/>
      <c r="H144" s="83"/>
      <c r="I144" s="84"/>
      <c r="J144" s="85"/>
      <c r="K144" s="82"/>
      <c r="L144" s="82"/>
      <c r="M144" s="82"/>
    </row>
    <row r="145" ht="17.25" customHeight="1">
      <c r="A145" s="82"/>
      <c r="B145" s="82"/>
      <c r="C145" s="82"/>
      <c r="D145" s="82"/>
      <c r="E145" s="82"/>
      <c r="F145" s="82"/>
      <c r="G145" s="82"/>
      <c r="H145" s="83"/>
      <c r="I145" s="84"/>
      <c r="J145" s="85"/>
      <c r="K145" s="82"/>
      <c r="L145" s="82"/>
      <c r="M145" s="82"/>
    </row>
    <row r="146" ht="17.25" customHeight="1">
      <c r="A146" s="82"/>
      <c r="B146" s="82"/>
      <c r="C146" s="82"/>
      <c r="D146" s="82"/>
      <c r="E146" s="82"/>
      <c r="F146" s="82"/>
      <c r="G146" s="82"/>
      <c r="H146" s="83"/>
      <c r="I146" s="84"/>
      <c r="J146" s="85"/>
      <c r="K146" s="82"/>
      <c r="L146" s="82"/>
      <c r="M146" s="82"/>
    </row>
    <row r="147" ht="17.25" customHeight="1">
      <c r="A147" s="82"/>
      <c r="B147" s="82"/>
      <c r="C147" s="82"/>
      <c r="D147" s="82"/>
      <c r="E147" s="82"/>
      <c r="F147" s="82"/>
      <c r="G147" s="82"/>
      <c r="H147" s="83"/>
      <c r="I147" s="84"/>
      <c r="J147" s="85"/>
      <c r="K147" s="82"/>
      <c r="L147" s="82"/>
      <c r="M147" s="82"/>
    </row>
    <row r="148" ht="17.25" customHeight="1">
      <c r="A148" s="82"/>
      <c r="B148" s="82"/>
      <c r="C148" s="82"/>
      <c r="D148" s="82"/>
      <c r="E148" s="82"/>
      <c r="F148" s="82"/>
      <c r="G148" s="82"/>
      <c r="H148" s="83"/>
      <c r="I148" s="84"/>
      <c r="J148" s="85"/>
      <c r="K148" s="82"/>
      <c r="L148" s="82"/>
      <c r="M148" s="82"/>
    </row>
    <row r="149" ht="17.25" customHeight="1">
      <c r="A149" s="82"/>
      <c r="B149" s="82"/>
      <c r="C149" s="82"/>
      <c r="D149" s="82"/>
      <c r="E149" s="82"/>
      <c r="F149" s="82"/>
      <c r="G149" s="82"/>
      <c r="H149" s="83"/>
      <c r="I149" s="84"/>
      <c r="J149" s="85"/>
      <c r="K149" s="82"/>
      <c r="L149" s="82"/>
      <c r="M149" s="82"/>
    </row>
    <row r="150" ht="17.25" customHeight="1">
      <c r="A150" s="82"/>
      <c r="B150" s="82"/>
      <c r="C150" s="82"/>
      <c r="D150" s="82"/>
      <c r="E150" s="82"/>
      <c r="F150" s="82"/>
      <c r="G150" s="82"/>
      <c r="H150" s="83"/>
      <c r="I150" s="84"/>
      <c r="J150" s="85"/>
      <c r="K150" s="82"/>
      <c r="L150" s="82"/>
      <c r="M150" s="82"/>
    </row>
    <row r="151" ht="17.25" customHeight="1">
      <c r="A151" s="82"/>
      <c r="B151" s="82"/>
      <c r="C151" s="82"/>
      <c r="D151" s="82"/>
      <c r="E151" s="82"/>
      <c r="F151" s="82"/>
      <c r="G151" s="82"/>
      <c r="H151" s="83"/>
      <c r="I151" s="84"/>
      <c r="J151" s="85"/>
      <c r="K151" s="82"/>
      <c r="L151" s="82"/>
      <c r="M151" s="82"/>
    </row>
    <row r="152" ht="17.25" customHeight="1">
      <c r="A152" s="82"/>
      <c r="B152" s="82"/>
      <c r="C152" s="82"/>
      <c r="D152" s="82"/>
      <c r="E152" s="82"/>
      <c r="F152" s="82"/>
      <c r="G152" s="82"/>
      <c r="H152" s="83"/>
      <c r="I152" s="84"/>
      <c r="J152" s="85"/>
      <c r="K152" s="82"/>
      <c r="L152" s="82"/>
      <c r="M152" s="82"/>
    </row>
    <row r="153" ht="17.25" customHeight="1">
      <c r="A153" s="82"/>
      <c r="B153" s="82"/>
      <c r="C153" s="82"/>
      <c r="D153" s="82"/>
      <c r="E153" s="82"/>
      <c r="F153" s="82"/>
      <c r="G153" s="82"/>
      <c r="H153" s="83"/>
      <c r="I153" s="84"/>
      <c r="J153" s="85"/>
      <c r="K153" s="82"/>
      <c r="L153" s="82"/>
      <c r="M153" s="82"/>
    </row>
    <row r="154" ht="17.25" customHeight="1">
      <c r="A154" s="82"/>
      <c r="B154" s="82"/>
      <c r="C154" s="82"/>
      <c r="D154" s="82"/>
      <c r="E154" s="82"/>
      <c r="F154" s="82"/>
      <c r="G154" s="82"/>
      <c r="H154" s="83"/>
      <c r="I154" s="84"/>
      <c r="J154" s="85"/>
      <c r="K154" s="82"/>
      <c r="L154" s="82"/>
      <c r="M154" s="82"/>
    </row>
    <row r="155" ht="17.25" customHeight="1">
      <c r="A155" s="82"/>
      <c r="B155" s="82"/>
      <c r="C155" s="82"/>
      <c r="D155" s="82"/>
      <c r="E155" s="82"/>
      <c r="F155" s="82"/>
      <c r="G155" s="82"/>
      <c r="H155" s="83"/>
      <c r="I155" s="84"/>
      <c r="J155" s="85"/>
      <c r="K155" s="82"/>
      <c r="L155" s="82"/>
      <c r="M155" s="82"/>
    </row>
    <row r="156" ht="17.25" customHeight="1">
      <c r="A156" s="82"/>
      <c r="B156" s="82"/>
      <c r="C156" s="82"/>
      <c r="D156" s="82"/>
      <c r="E156" s="82"/>
      <c r="F156" s="82"/>
      <c r="G156" s="82"/>
      <c r="H156" s="83"/>
      <c r="I156" s="84"/>
      <c r="J156" s="85"/>
      <c r="K156" s="82"/>
      <c r="L156" s="82"/>
      <c r="M156" s="82"/>
    </row>
    <row r="157" ht="17.25" customHeight="1">
      <c r="A157" s="82"/>
      <c r="B157" s="82"/>
      <c r="C157" s="82"/>
      <c r="D157" s="82"/>
      <c r="E157" s="82"/>
      <c r="F157" s="82"/>
      <c r="G157" s="82"/>
      <c r="H157" s="83"/>
      <c r="I157" s="84"/>
      <c r="J157" s="85"/>
      <c r="K157" s="82"/>
      <c r="L157" s="82"/>
      <c r="M157" s="82"/>
    </row>
    <row r="158" ht="17.25" customHeight="1">
      <c r="A158" s="82"/>
      <c r="B158" s="82"/>
      <c r="C158" s="82"/>
      <c r="D158" s="82"/>
      <c r="E158" s="82"/>
      <c r="F158" s="82"/>
      <c r="G158" s="82"/>
      <c r="H158" s="83"/>
      <c r="I158" s="84"/>
      <c r="J158" s="85"/>
      <c r="K158" s="82"/>
      <c r="L158" s="82"/>
      <c r="M158" s="82"/>
    </row>
    <row r="159" ht="17.25" customHeight="1">
      <c r="A159" s="82"/>
      <c r="B159" s="82"/>
      <c r="C159" s="82"/>
      <c r="D159" s="82"/>
      <c r="E159" s="82"/>
      <c r="F159" s="82"/>
      <c r="G159" s="82"/>
      <c r="H159" s="83"/>
      <c r="I159" s="84"/>
      <c r="J159" s="85"/>
      <c r="K159" s="82"/>
      <c r="L159" s="82"/>
      <c r="M159" s="82"/>
    </row>
    <row r="160" ht="17.25" customHeight="1">
      <c r="A160" s="82"/>
      <c r="B160" s="82"/>
      <c r="C160" s="82"/>
      <c r="D160" s="82"/>
      <c r="E160" s="82"/>
      <c r="F160" s="82"/>
      <c r="G160" s="82"/>
      <c r="H160" s="83"/>
      <c r="I160" s="84"/>
      <c r="J160" s="85"/>
      <c r="K160" s="82"/>
      <c r="L160" s="82"/>
      <c r="M160" s="82"/>
    </row>
    <row r="161" ht="17.25" customHeight="1">
      <c r="A161" s="82"/>
      <c r="B161" s="82"/>
      <c r="C161" s="82"/>
      <c r="D161" s="82"/>
      <c r="E161" s="82"/>
      <c r="F161" s="82"/>
      <c r="G161" s="82"/>
      <c r="H161" s="83"/>
      <c r="I161" s="84"/>
      <c r="J161" s="85"/>
      <c r="K161" s="82"/>
      <c r="L161" s="82"/>
      <c r="M161" s="82"/>
    </row>
    <row r="162" ht="17.25" customHeight="1">
      <c r="A162" s="82"/>
      <c r="B162" s="82"/>
      <c r="C162" s="82"/>
      <c r="D162" s="82"/>
      <c r="E162" s="82"/>
      <c r="F162" s="82"/>
      <c r="G162" s="82"/>
      <c r="H162" s="83"/>
      <c r="I162" s="84"/>
      <c r="J162" s="85"/>
      <c r="K162" s="82"/>
      <c r="L162" s="82"/>
      <c r="M162" s="82"/>
    </row>
    <row r="163" ht="17.25" customHeight="1">
      <c r="A163" s="82"/>
      <c r="B163" s="82"/>
      <c r="C163" s="82"/>
      <c r="D163" s="82"/>
      <c r="E163" s="82"/>
      <c r="F163" s="82"/>
      <c r="G163" s="82"/>
      <c r="H163" s="83"/>
      <c r="I163" s="84"/>
      <c r="J163" s="85"/>
      <c r="K163" s="82"/>
      <c r="L163" s="82"/>
      <c r="M163" s="82"/>
    </row>
    <row r="164" ht="17.25" customHeight="1">
      <c r="A164" s="82"/>
      <c r="B164" s="82"/>
      <c r="C164" s="82"/>
      <c r="D164" s="82"/>
      <c r="E164" s="82"/>
      <c r="F164" s="82"/>
      <c r="G164" s="82"/>
      <c r="H164" s="83"/>
      <c r="I164" s="84"/>
      <c r="J164" s="85"/>
      <c r="K164" s="82"/>
      <c r="L164" s="82"/>
      <c r="M164" s="82"/>
    </row>
    <row r="165" ht="17.25" customHeight="1">
      <c r="A165" s="82"/>
      <c r="B165" s="82"/>
      <c r="C165" s="82"/>
      <c r="D165" s="82"/>
      <c r="E165" s="82"/>
      <c r="F165" s="82"/>
      <c r="G165" s="82"/>
      <c r="H165" s="83"/>
      <c r="I165" s="84"/>
      <c r="J165" s="85"/>
      <c r="K165" s="82"/>
      <c r="L165" s="82"/>
      <c r="M165" s="82"/>
    </row>
    <row r="166" ht="17.25" customHeight="1">
      <c r="A166" s="82"/>
      <c r="B166" s="82"/>
      <c r="C166" s="82"/>
      <c r="D166" s="82"/>
      <c r="E166" s="82"/>
      <c r="F166" s="82"/>
      <c r="G166" s="82"/>
      <c r="H166" s="83"/>
      <c r="I166" s="84"/>
      <c r="J166" s="85"/>
      <c r="K166" s="82"/>
      <c r="L166" s="82"/>
      <c r="M166" s="82"/>
    </row>
    <row r="167" ht="17.25" customHeight="1">
      <c r="A167" s="82"/>
      <c r="B167" s="82"/>
      <c r="C167" s="82"/>
      <c r="D167" s="82"/>
      <c r="E167" s="82"/>
      <c r="F167" s="82"/>
      <c r="G167" s="82"/>
      <c r="H167" s="83"/>
      <c r="I167" s="84"/>
      <c r="J167" s="85"/>
      <c r="K167" s="82"/>
      <c r="L167" s="82"/>
      <c r="M167" s="82"/>
    </row>
    <row r="168" ht="17.25" customHeight="1">
      <c r="A168" s="82"/>
      <c r="B168" s="82"/>
      <c r="C168" s="82"/>
      <c r="D168" s="82"/>
      <c r="E168" s="82"/>
      <c r="F168" s="82"/>
      <c r="G168" s="82"/>
      <c r="H168" s="83"/>
      <c r="I168" s="84"/>
      <c r="J168" s="85"/>
      <c r="K168" s="82"/>
      <c r="L168" s="82"/>
      <c r="M168" s="82"/>
    </row>
    <row r="169" ht="17.25" customHeight="1">
      <c r="A169" s="82"/>
      <c r="B169" s="82"/>
      <c r="C169" s="82"/>
      <c r="D169" s="82"/>
      <c r="E169" s="82"/>
      <c r="F169" s="82"/>
      <c r="G169" s="82"/>
      <c r="H169" s="83"/>
      <c r="I169" s="84"/>
      <c r="J169" s="85"/>
      <c r="K169" s="82"/>
      <c r="L169" s="82"/>
      <c r="M169" s="82"/>
    </row>
    <row r="170" ht="17.25" customHeight="1">
      <c r="A170" s="82"/>
      <c r="B170" s="82"/>
      <c r="C170" s="82"/>
      <c r="D170" s="82"/>
      <c r="E170" s="82"/>
      <c r="F170" s="82"/>
      <c r="G170" s="82"/>
      <c r="H170" s="83"/>
      <c r="I170" s="84"/>
      <c r="J170" s="85"/>
      <c r="K170" s="82"/>
      <c r="L170" s="82"/>
      <c r="M170" s="82"/>
    </row>
    <row r="171" ht="17.25" customHeight="1">
      <c r="A171" s="82"/>
      <c r="B171" s="82"/>
      <c r="C171" s="82"/>
      <c r="D171" s="82"/>
      <c r="E171" s="82"/>
      <c r="F171" s="82"/>
      <c r="G171" s="82"/>
      <c r="H171" s="83"/>
      <c r="I171" s="84"/>
      <c r="J171" s="85"/>
      <c r="K171" s="82"/>
      <c r="L171" s="82"/>
      <c r="M171" s="82"/>
    </row>
    <row r="172" ht="17.25" customHeight="1">
      <c r="A172" s="82"/>
      <c r="B172" s="82"/>
      <c r="C172" s="82"/>
      <c r="D172" s="82"/>
      <c r="E172" s="82"/>
      <c r="F172" s="82"/>
      <c r="G172" s="82"/>
      <c r="H172" s="83"/>
      <c r="I172" s="84"/>
      <c r="J172" s="85"/>
      <c r="K172" s="82"/>
      <c r="L172" s="82"/>
      <c r="M172" s="82"/>
    </row>
    <row r="173" ht="17.25" customHeight="1">
      <c r="A173" s="82"/>
      <c r="B173" s="82"/>
      <c r="C173" s="82"/>
      <c r="D173" s="82"/>
      <c r="E173" s="82"/>
      <c r="F173" s="82"/>
      <c r="G173" s="82"/>
      <c r="H173" s="83"/>
      <c r="I173" s="84"/>
      <c r="J173" s="85"/>
      <c r="K173" s="82"/>
      <c r="L173" s="82"/>
      <c r="M173" s="82"/>
    </row>
    <row r="174" ht="17.25" customHeight="1">
      <c r="A174" s="82"/>
      <c r="B174" s="82"/>
      <c r="C174" s="82"/>
      <c r="D174" s="82"/>
      <c r="E174" s="82"/>
      <c r="F174" s="82"/>
      <c r="G174" s="82"/>
      <c r="H174" s="83"/>
      <c r="I174" s="84"/>
      <c r="J174" s="85"/>
      <c r="K174" s="82"/>
      <c r="L174" s="82"/>
      <c r="M174" s="82"/>
    </row>
    <row r="175" ht="17.25" customHeight="1">
      <c r="A175" s="82"/>
      <c r="B175" s="82"/>
      <c r="C175" s="82"/>
      <c r="D175" s="82"/>
      <c r="E175" s="82"/>
      <c r="F175" s="82"/>
      <c r="G175" s="82"/>
      <c r="H175" s="83"/>
      <c r="I175" s="84"/>
      <c r="J175" s="85"/>
      <c r="K175" s="82"/>
      <c r="L175" s="82"/>
      <c r="M175" s="82"/>
    </row>
    <row r="176" ht="17.25" customHeight="1">
      <c r="A176" s="82"/>
      <c r="B176" s="82"/>
      <c r="C176" s="82"/>
      <c r="D176" s="82"/>
      <c r="E176" s="82"/>
      <c r="F176" s="82"/>
      <c r="G176" s="82"/>
      <c r="H176" s="83"/>
      <c r="I176" s="84"/>
      <c r="J176" s="85"/>
      <c r="K176" s="82"/>
      <c r="L176" s="82"/>
      <c r="M176" s="82"/>
    </row>
    <row r="177" ht="17.25" customHeight="1">
      <c r="A177" s="82"/>
      <c r="B177" s="82"/>
      <c r="C177" s="82"/>
      <c r="D177" s="82"/>
      <c r="E177" s="82"/>
      <c r="F177" s="82"/>
      <c r="G177" s="82"/>
      <c r="H177" s="83"/>
      <c r="I177" s="84"/>
      <c r="J177" s="85"/>
      <c r="K177" s="82"/>
      <c r="L177" s="82"/>
      <c r="M177" s="82"/>
    </row>
    <row r="178" ht="17.25" customHeight="1">
      <c r="A178" s="82"/>
      <c r="B178" s="82"/>
      <c r="C178" s="82"/>
      <c r="D178" s="82"/>
      <c r="E178" s="82"/>
      <c r="F178" s="82"/>
      <c r="G178" s="82"/>
      <c r="H178" s="83"/>
      <c r="I178" s="84"/>
      <c r="J178" s="85"/>
      <c r="K178" s="82"/>
      <c r="L178" s="82"/>
      <c r="M178" s="82"/>
    </row>
    <row r="179" ht="17.25" customHeight="1">
      <c r="A179" s="82"/>
      <c r="B179" s="82"/>
      <c r="C179" s="82"/>
      <c r="D179" s="82"/>
      <c r="E179" s="82"/>
      <c r="F179" s="82"/>
      <c r="G179" s="82"/>
      <c r="H179" s="83"/>
      <c r="I179" s="84"/>
      <c r="J179" s="85"/>
      <c r="K179" s="82"/>
      <c r="L179" s="82"/>
      <c r="M179" s="82"/>
    </row>
    <row r="180" ht="17.25" customHeight="1">
      <c r="A180" s="82"/>
      <c r="B180" s="82"/>
      <c r="C180" s="82"/>
      <c r="D180" s="82"/>
      <c r="E180" s="82"/>
      <c r="F180" s="82"/>
      <c r="G180" s="82"/>
      <c r="H180" s="83"/>
      <c r="I180" s="84"/>
      <c r="J180" s="85"/>
      <c r="K180" s="82"/>
      <c r="L180" s="82"/>
      <c r="M180" s="82"/>
    </row>
    <row r="181" ht="17.25" customHeight="1">
      <c r="A181" s="82"/>
      <c r="B181" s="82"/>
      <c r="C181" s="82"/>
      <c r="D181" s="82"/>
      <c r="E181" s="82"/>
      <c r="F181" s="82"/>
      <c r="G181" s="82"/>
      <c r="H181" s="83"/>
      <c r="I181" s="84"/>
      <c r="J181" s="85"/>
      <c r="K181" s="82"/>
      <c r="L181" s="82"/>
      <c r="M181" s="82"/>
    </row>
    <row r="182" ht="17.25" customHeight="1">
      <c r="A182" s="82"/>
      <c r="B182" s="82"/>
      <c r="C182" s="82"/>
      <c r="D182" s="82"/>
      <c r="E182" s="82"/>
      <c r="F182" s="82"/>
      <c r="G182" s="82"/>
      <c r="H182" s="83"/>
      <c r="I182" s="84"/>
      <c r="J182" s="85"/>
      <c r="K182" s="82"/>
      <c r="L182" s="82"/>
      <c r="M182" s="82"/>
    </row>
    <row r="183" ht="17.25" customHeight="1">
      <c r="A183" s="82"/>
      <c r="B183" s="82"/>
      <c r="C183" s="82"/>
      <c r="D183" s="82"/>
      <c r="E183" s="82"/>
      <c r="F183" s="82"/>
      <c r="G183" s="82"/>
      <c r="H183" s="83"/>
      <c r="I183" s="84"/>
      <c r="J183" s="85"/>
      <c r="K183" s="82"/>
      <c r="L183" s="82"/>
      <c r="M183" s="82"/>
    </row>
    <row r="184" ht="17.25" customHeight="1">
      <c r="A184" s="82"/>
      <c r="B184" s="82"/>
      <c r="C184" s="82"/>
      <c r="D184" s="82"/>
      <c r="E184" s="82"/>
      <c r="F184" s="82"/>
      <c r="G184" s="82"/>
      <c r="H184" s="83"/>
      <c r="I184" s="84"/>
      <c r="J184" s="85"/>
      <c r="K184" s="82"/>
      <c r="L184" s="82"/>
      <c r="M184" s="82"/>
    </row>
    <row r="185" ht="17.25" customHeight="1">
      <c r="A185" s="82"/>
      <c r="B185" s="82"/>
      <c r="C185" s="82"/>
      <c r="D185" s="82"/>
      <c r="E185" s="82"/>
      <c r="F185" s="82"/>
      <c r="G185" s="82"/>
      <c r="H185" s="83"/>
      <c r="I185" s="84"/>
      <c r="J185" s="85"/>
      <c r="K185" s="82"/>
      <c r="L185" s="82"/>
      <c r="M185" s="82"/>
    </row>
    <row r="186" ht="17.25" customHeight="1">
      <c r="A186" s="82"/>
      <c r="B186" s="82"/>
      <c r="C186" s="82"/>
      <c r="D186" s="82"/>
      <c r="E186" s="82"/>
      <c r="F186" s="82"/>
      <c r="G186" s="82"/>
      <c r="H186" s="83"/>
      <c r="I186" s="84"/>
      <c r="J186" s="85"/>
      <c r="K186" s="82"/>
      <c r="L186" s="82"/>
      <c r="M186" s="82"/>
    </row>
    <row r="187" ht="17.25" customHeight="1">
      <c r="A187" s="82"/>
      <c r="B187" s="82"/>
      <c r="C187" s="82"/>
      <c r="D187" s="82"/>
      <c r="E187" s="82"/>
      <c r="F187" s="82"/>
      <c r="G187" s="82"/>
      <c r="H187" s="83"/>
      <c r="I187" s="84"/>
      <c r="J187" s="85"/>
      <c r="K187" s="82"/>
      <c r="L187" s="82"/>
      <c r="M187" s="82"/>
    </row>
    <row r="188" ht="17.25" customHeight="1">
      <c r="A188" s="82"/>
      <c r="B188" s="82"/>
      <c r="C188" s="82"/>
      <c r="D188" s="82"/>
      <c r="E188" s="82"/>
      <c r="F188" s="82"/>
      <c r="G188" s="82"/>
      <c r="H188" s="83"/>
      <c r="I188" s="84"/>
      <c r="J188" s="85"/>
      <c r="K188" s="82"/>
      <c r="L188" s="82"/>
      <c r="M188" s="82"/>
    </row>
    <row r="189" ht="17.25" customHeight="1">
      <c r="A189" s="82"/>
      <c r="B189" s="82"/>
      <c r="C189" s="82"/>
      <c r="D189" s="82"/>
      <c r="E189" s="82"/>
      <c r="F189" s="82"/>
      <c r="G189" s="82"/>
      <c r="H189" s="83"/>
      <c r="I189" s="84"/>
      <c r="J189" s="85"/>
      <c r="K189" s="82"/>
      <c r="L189" s="82"/>
      <c r="M189" s="82"/>
    </row>
    <row r="190" ht="17.25" customHeight="1">
      <c r="A190" s="82"/>
      <c r="B190" s="82"/>
      <c r="C190" s="82"/>
      <c r="D190" s="82"/>
      <c r="E190" s="82"/>
      <c r="F190" s="82"/>
      <c r="G190" s="82"/>
      <c r="H190" s="83"/>
      <c r="I190" s="84"/>
      <c r="J190" s="85"/>
      <c r="K190" s="82"/>
      <c r="L190" s="82"/>
      <c r="M190" s="82"/>
    </row>
    <row r="191" ht="17.25" customHeight="1">
      <c r="A191" s="82"/>
      <c r="B191" s="82"/>
      <c r="C191" s="82"/>
      <c r="D191" s="82"/>
      <c r="E191" s="82"/>
      <c r="F191" s="82"/>
      <c r="G191" s="82"/>
      <c r="H191" s="83"/>
      <c r="I191" s="84"/>
      <c r="J191" s="85"/>
      <c r="K191" s="82"/>
      <c r="L191" s="82"/>
      <c r="M191" s="82"/>
    </row>
    <row r="192" ht="17.25" customHeight="1">
      <c r="A192" s="82"/>
      <c r="B192" s="82"/>
      <c r="C192" s="82"/>
      <c r="D192" s="82"/>
      <c r="E192" s="82"/>
      <c r="F192" s="82"/>
      <c r="G192" s="82"/>
      <c r="H192" s="83"/>
      <c r="I192" s="84"/>
      <c r="J192" s="85"/>
      <c r="K192" s="82"/>
      <c r="L192" s="82"/>
      <c r="M192" s="82"/>
    </row>
    <row r="193" ht="17.25" customHeight="1">
      <c r="A193" s="82"/>
      <c r="B193" s="82"/>
      <c r="C193" s="82"/>
      <c r="D193" s="82"/>
      <c r="E193" s="82"/>
      <c r="F193" s="82"/>
      <c r="G193" s="82"/>
      <c r="H193" s="83"/>
      <c r="I193" s="84"/>
      <c r="J193" s="85"/>
      <c r="K193" s="82"/>
      <c r="L193" s="82"/>
      <c r="M193" s="82"/>
    </row>
    <row r="194" ht="17.25" customHeight="1">
      <c r="A194" s="82"/>
      <c r="B194" s="82"/>
      <c r="C194" s="82"/>
      <c r="D194" s="82"/>
      <c r="E194" s="82"/>
      <c r="F194" s="82"/>
      <c r="G194" s="82"/>
      <c r="H194" s="83"/>
      <c r="I194" s="84"/>
      <c r="J194" s="85"/>
      <c r="K194" s="82"/>
      <c r="L194" s="82"/>
      <c r="M194" s="82"/>
    </row>
    <row r="195" ht="17.25" customHeight="1">
      <c r="A195" s="82"/>
      <c r="B195" s="82"/>
      <c r="C195" s="82"/>
      <c r="D195" s="82"/>
      <c r="E195" s="82"/>
      <c r="F195" s="82"/>
      <c r="G195" s="82"/>
      <c r="H195" s="83"/>
      <c r="I195" s="84"/>
      <c r="J195" s="85"/>
      <c r="K195" s="82"/>
      <c r="L195" s="82"/>
      <c r="M195" s="82"/>
    </row>
    <row r="196" ht="17.25" customHeight="1">
      <c r="A196" s="82"/>
      <c r="B196" s="82"/>
      <c r="C196" s="82"/>
      <c r="D196" s="82"/>
      <c r="E196" s="82"/>
      <c r="F196" s="82"/>
      <c r="G196" s="82"/>
      <c r="H196" s="83"/>
      <c r="I196" s="84"/>
      <c r="J196" s="85"/>
      <c r="K196" s="82"/>
      <c r="L196" s="82"/>
      <c r="M196" s="82"/>
    </row>
    <row r="197" ht="17.25" customHeight="1">
      <c r="A197" s="82"/>
      <c r="B197" s="82"/>
      <c r="C197" s="82"/>
      <c r="D197" s="82"/>
      <c r="E197" s="82"/>
      <c r="F197" s="82"/>
      <c r="G197" s="82"/>
      <c r="H197" s="83"/>
      <c r="I197" s="84"/>
      <c r="J197" s="85"/>
      <c r="K197" s="82"/>
      <c r="L197" s="82"/>
      <c r="M197" s="82"/>
    </row>
    <row r="198" ht="17.25" customHeight="1">
      <c r="A198" s="82"/>
      <c r="B198" s="82"/>
      <c r="C198" s="82"/>
      <c r="D198" s="82"/>
      <c r="E198" s="82"/>
      <c r="F198" s="82"/>
      <c r="G198" s="82"/>
      <c r="H198" s="83"/>
      <c r="I198" s="84"/>
      <c r="J198" s="85"/>
      <c r="K198" s="82"/>
      <c r="L198" s="82"/>
      <c r="M198" s="82"/>
    </row>
    <row r="199" ht="17.25" customHeight="1">
      <c r="A199" s="82"/>
      <c r="B199" s="82"/>
      <c r="C199" s="82"/>
      <c r="D199" s="82"/>
      <c r="E199" s="82"/>
      <c r="F199" s="82"/>
      <c r="G199" s="82"/>
      <c r="H199" s="83"/>
      <c r="I199" s="84"/>
      <c r="J199" s="85"/>
      <c r="K199" s="82"/>
      <c r="L199" s="82"/>
      <c r="M199" s="82"/>
    </row>
    <row r="200" ht="17.25" customHeight="1">
      <c r="A200" s="82"/>
      <c r="B200" s="82"/>
      <c r="C200" s="82"/>
      <c r="D200" s="82"/>
      <c r="E200" s="82"/>
      <c r="F200" s="82"/>
      <c r="G200" s="82"/>
      <c r="H200" s="83"/>
      <c r="I200" s="84"/>
      <c r="J200" s="85"/>
      <c r="K200" s="82"/>
      <c r="L200" s="82"/>
      <c r="M200" s="82"/>
    </row>
    <row r="201" ht="17.25" customHeight="1">
      <c r="A201" s="82"/>
      <c r="B201" s="82"/>
      <c r="C201" s="82"/>
      <c r="D201" s="82"/>
      <c r="E201" s="82"/>
      <c r="F201" s="82"/>
      <c r="G201" s="82"/>
      <c r="H201" s="83"/>
      <c r="I201" s="84"/>
      <c r="J201" s="85"/>
      <c r="K201" s="82"/>
      <c r="L201" s="82"/>
      <c r="M201" s="82"/>
    </row>
    <row r="202" ht="17.25" customHeight="1">
      <c r="A202" s="82"/>
      <c r="B202" s="82"/>
      <c r="C202" s="82"/>
      <c r="D202" s="82"/>
      <c r="E202" s="82"/>
      <c r="F202" s="82"/>
      <c r="G202" s="82"/>
      <c r="H202" s="83"/>
      <c r="I202" s="84"/>
      <c r="J202" s="85"/>
      <c r="K202" s="82"/>
      <c r="L202" s="82"/>
      <c r="M202" s="82"/>
    </row>
    <row r="203" ht="17.25" customHeight="1">
      <c r="A203" s="82"/>
      <c r="B203" s="82"/>
      <c r="C203" s="82"/>
      <c r="D203" s="82"/>
      <c r="E203" s="82"/>
      <c r="F203" s="82"/>
      <c r="G203" s="82"/>
      <c r="H203" s="83"/>
      <c r="I203" s="84"/>
      <c r="J203" s="85"/>
      <c r="K203" s="82"/>
      <c r="L203" s="82"/>
      <c r="M203" s="82"/>
    </row>
    <row r="204" ht="17.25" customHeight="1">
      <c r="A204" s="82"/>
      <c r="B204" s="82"/>
      <c r="C204" s="82"/>
      <c r="D204" s="82"/>
      <c r="E204" s="82"/>
      <c r="F204" s="82"/>
      <c r="G204" s="82"/>
      <c r="H204" s="83"/>
      <c r="I204" s="84"/>
      <c r="J204" s="85"/>
      <c r="K204" s="82"/>
      <c r="L204" s="82"/>
      <c r="M204" s="82"/>
    </row>
    <row r="205" ht="17.25" customHeight="1">
      <c r="A205" s="82"/>
      <c r="B205" s="82"/>
      <c r="C205" s="82"/>
      <c r="D205" s="82"/>
      <c r="E205" s="82"/>
      <c r="F205" s="82"/>
      <c r="G205" s="82"/>
      <c r="H205" s="83"/>
      <c r="I205" s="84"/>
      <c r="J205" s="85"/>
      <c r="K205" s="82"/>
      <c r="L205" s="82"/>
      <c r="M205" s="82"/>
    </row>
    <row r="206" ht="17.25" customHeight="1">
      <c r="A206" s="82"/>
      <c r="B206" s="82"/>
      <c r="C206" s="82"/>
      <c r="D206" s="82"/>
      <c r="E206" s="82"/>
      <c r="F206" s="82"/>
      <c r="G206" s="82"/>
      <c r="H206" s="83"/>
      <c r="I206" s="84"/>
      <c r="J206" s="85"/>
      <c r="K206" s="82"/>
      <c r="L206" s="82"/>
      <c r="M206" s="82"/>
    </row>
    <row r="207" ht="17.25" customHeight="1">
      <c r="A207" s="82"/>
      <c r="B207" s="82"/>
      <c r="C207" s="82"/>
      <c r="D207" s="82"/>
      <c r="E207" s="82"/>
      <c r="F207" s="82"/>
      <c r="G207" s="82"/>
      <c r="H207" s="83"/>
      <c r="I207" s="84"/>
      <c r="J207" s="85"/>
      <c r="K207" s="82"/>
      <c r="L207" s="82"/>
      <c r="M207" s="82"/>
    </row>
    <row r="208" ht="17.25" customHeight="1">
      <c r="A208" s="82"/>
      <c r="B208" s="82"/>
      <c r="C208" s="82"/>
      <c r="D208" s="82"/>
      <c r="E208" s="82"/>
      <c r="F208" s="82"/>
      <c r="G208" s="82"/>
      <c r="H208" s="83"/>
      <c r="I208" s="84"/>
      <c r="J208" s="85"/>
      <c r="K208" s="82"/>
      <c r="L208" s="82"/>
      <c r="M208" s="82"/>
    </row>
    <row r="209" ht="17.25" customHeight="1">
      <c r="A209" s="82"/>
      <c r="B209" s="82"/>
      <c r="C209" s="82"/>
      <c r="D209" s="82"/>
      <c r="E209" s="82"/>
      <c r="F209" s="82"/>
      <c r="G209" s="82"/>
      <c r="H209" s="83"/>
      <c r="I209" s="84"/>
      <c r="J209" s="85"/>
      <c r="K209" s="82"/>
      <c r="L209" s="82"/>
      <c r="M209" s="82"/>
    </row>
    <row r="210" ht="17.25" customHeight="1">
      <c r="A210" s="82"/>
      <c r="B210" s="82"/>
      <c r="C210" s="82"/>
      <c r="D210" s="82"/>
      <c r="E210" s="82"/>
      <c r="F210" s="82"/>
      <c r="G210" s="82"/>
      <c r="H210" s="83"/>
      <c r="I210" s="84"/>
      <c r="J210" s="85"/>
      <c r="K210" s="82"/>
      <c r="L210" s="82"/>
      <c r="M210" s="82"/>
    </row>
    <row r="211" ht="17.25" customHeight="1">
      <c r="A211" s="82"/>
      <c r="B211" s="82"/>
      <c r="C211" s="82"/>
      <c r="D211" s="82"/>
      <c r="E211" s="82"/>
      <c r="F211" s="82"/>
      <c r="G211" s="82"/>
      <c r="H211" s="83"/>
      <c r="I211" s="84"/>
      <c r="J211" s="85"/>
      <c r="K211" s="82"/>
      <c r="L211" s="82"/>
      <c r="M211" s="82"/>
    </row>
    <row r="212" ht="17.25" customHeight="1">
      <c r="A212" s="82"/>
      <c r="B212" s="82"/>
      <c r="C212" s="82"/>
      <c r="D212" s="82"/>
      <c r="E212" s="82"/>
      <c r="F212" s="82"/>
      <c r="G212" s="82"/>
      <c r="H212" s="83"/>
      <c r="I212" s="84"/>
      <c r="J212" s="85"/>
      <c r="K212" s="82"/>
      <c r="L212" s="82"/>
      <c r="M212" s="82"/>
    </row>
    <row r="213" ht="17.25" customHeight="1">
      <c r="A213" s="82"/>
      <c r="B213" s="82"/>
      <c r="C213" s="82"/>
      <c r="D213" s="82"/>
      <c r="E213" s="82"/>
      <c r="F213" s="82"/>
      <c r="G213" s="82"/>
      <c r="H213" s="83"/>
      <c r="I213" s="84"/>
      <c r="J213" s="85"/>
      <c r="K213" s="82"/>
      <c r="L213" s="82"/>
      <c r="M213" s="82"/>
    </row>
    <row r="214" ht="17.25" customHeight="1">
      <c r="A214" s="82"/>
      <c r="B214" s="82"/>
      <c r="C214" s="82"/>
      <c r="D214" s="82"/>
      <c r="E214" s="82"/>
      <c r="F214" s="82"/>
      <c r="G214" s="82"/>
      <c r="H214" s="83"/>
      <c r="I214" s="84"/>
      <c r="J214" s="85"/>
      <c r="K214" s="82"/>
      <c r="L214" s="82"/>
      <c r="M214" s="82"/>
    </row>
    <row r="215" ht="17.25" customHeight="1">
      <c r="A215" s="82"/>
      <c r="B215" s="82"/>
      <c r="C215" s="82"/>
      <c r="D215" s="82"/>
      <c r="E215" s="82"/>
      <c r="F215" s="82"/>
      <c r="G215" s="82"/>
      <c r="H215" s="83"/>
      <c r="I215" s="84"/>
      <c r="J215" s="85"/>
      <c r="K215" s="82"/>
      <c r="L215" s="82"/>
      <c r="M215" s="82"/>
    </row>
    <row r="216" ht="17.25" customHeight="1">
      <c r="A216" s="82"/>
      <c r="B216" s="82"/>
      <c r="C216" s="82"/>
      <c r="D216" s="82"/>
      <c r="E216" s="82"/>
      <c r="F216" s="82"/>
      <c r="G216" s="82"/>
      <c r="H216" s="83"/>
      <c r="I216" s="84"/>
      <c r="J216" s="85"/>
      <c r="K216" s="82"/>
      <c r="L216" s="82"/>
      <c r="M216" s="82"/>
    </row>
    <row r="217" ht="17.25" customHeight="1">
      <c r="A217" s="82"/>
      <c r="B217" s="82"/>
      <c r="C217" s="82"/>
      <c r="D217" s="82"/>
      <c r="E217" s="82"/>
      <c r="F217" s="82"/>
      <c r="G217" s="82"/>
      <c r="H217" s="83"/>
      <c r="I217" s="84"/>
      <c r="J217" s="85"/>
      <c r="K217" s="82"/>
      <c r="L217" s="82"/>
      <c r="M217" s="82"/>
    </row>
    <row r="218" ht="17.25" customHeight="1">
      <c r="A218" s="82"/>
      <c r="B218" s="82"/>
      <c r="C218" s="82"/>
      <c r="D218" s="82"/>
      <c r="E218" s="82"/>
      <c r="F218" s="82"/>
      <c r="G218" s="82"/>
      <c r="H218" s="83"/>
      <c r="I218" s="84"/>
      <c r="J218" s="85"/>
      <c r="K218" s="82"/>
      <c r="L218" s="82"/>
      <c r="M218" s="82"/>
    </row>
    <row r="219" ht="17.25" customHeight="1">
      <c r="A219" s="82"/>
      <c r="B219" s="82"/>
      <c r="C219" s="82"/>
      <c r="D219" s="82"/>
      <c r="E219" s="82"/>
      <c r="F219" s="82"/>
      <c r="G219" s="82"/>
      <c r="H219" s="83"/>
      <c r="I219" s="84"/>
      <c r="J219" s="85"/>
      <c r="K219" s="82"/>
      <c r="L219" s="82"/>
      <c r="M219" s="82"/>
    </row>
    <row r="220" ht="17.25" customHeight="1">
      <c r="A220" s="82"/>
      <c r="B220" s="82"/>
      <c r="C220" s="82"/>
      <c r="D220" s="82"/>
      <c r="E220" s="82"/>
      <c r="F220" s="82"/>
      <c r="G220" s="82"/>
      <c r="H220" s="83"/>
      <c r="I220" s="84"/>
      <c r="J220" s="85"/>
      <c r="K220" s="82"/>
      <c r="L220" s="82"/>
      <c r="M220" s="82"/>
    </row>
    <row r="221" ht="17.25" customHeight="1">
      <c r="A221" s="82"/>
      <c r="B221" s="82"/>
      <c r="C221" s="82"/>
      <c r="D221" s="82"/>
      <c r="E221" s="82"/>
      <c r="F221" s="82"/>
      <c r="G221" s="82"/>
      <c r="H221" s="83"/>
      <c r="I221" s="84"/>
      <c r="J221" s="85"/>
      <c r="K221" s="82"/>
      <c r="L221" s="82"/>
      <c r="M221" s="82"/>
    </row>
    <row r="222" ht="17.25" customHeight="1">
      <c r="A222" s="82"/>
      <c r="B222" s="82"/>
      <c r="C222" s="82"/>
      <c r="D222" s="82"/>
      <c r="E222" s="82"/>
      <c r="F222" s="82"/>
      <c r="G222" s="82"/>
      <c r="H222" s="83"/>
      <c r="I222" s="84"/>
      <c r="J222" s="85"/>
      <c r="K222" s="82"/>
      <c r="L222" s="82"/>
      <c r="M222" s="82"/>
    </row>
    <row r="223" ht="17.25" customHeight="1">
      <c r="A223" s="82"/>
      <c r="B223" s="82"/>
      <c r="C223" s="82"/>
      <c r="D223" s="82"/>
      <c r="E223" s="82"/>
      <c r="F223" s="82"/>
      <c r="G223" s="82"/>
      <c r="H223" s="83"/>
      <c r="I223" s="84"/>
      <c r="J223" s="85"/>
      <c r="K223" s="82"/>
      <c r="L223" s="82"/>
      <c r="M223" s="82"/>
    </row>
    <row r="224" ht="17.25" customHeight="1">
      <c r="A224" s="82"/>
      <c r="B224" s="82"/>
      <c r="C224" s="82"/>
      <c r="D224" s="82"/>
      <c r="E224" s="82"/>
      <c r="F224" s="82"/>
      <c r="G224" s="82"/>
      <c r="H224" s="83"/>
      <c r="I224" s="84"/>
      <c r="J224" s="85"/>
      <c r="K224" s="82"/>
      <c r="L224" s="82"/>
      <c r="M224" s="82"/>
    </row>
    <row r="225" ht="17.25" customHeight="1">
      <c r="A225" s="82"/>
      <c r="B225" s="82"/>
      <c r="C225" s="82"/>
      <c r="D225" s="82"/>
      <c r="E225" s="82"/>
      <c r="F225" s="82"/>
      <c r="G225" s="82"/>
      <c r="H225" s="83"/>
      <c r="I225" s="84"/>
      <c r="J225" s="85"/>
      <c r="K225" s="82"/>
      <c r="L225" s="82"/>
      <c r="M225" s="82"/>
    </row>
    <row r="226" ht="17.25" customHeight="1">
      <c r="A226" s="82"/>
      <c r="B226" s="82"/>
      <c r="C226" s="82"/>
      <c r="D226" s="82"/>
      <c r="E226" s="82"/>
      <c r="F226" s="82"/>
      <c r="G226" s="82"/>
      <c r="H226" s="83"/>
      <c r="I226" s="84"/>
      <c r="J226" s="85"/>
      <c r="K226" s="82"/>
      <c r="L226" s="82"/>
      <c r="M226" s="82"/>
    </row>
    <row r="227" ht="17.25" customHeight="1">
      <c r="A227" s="82"/>
      <c r="B227" s="82"/>
      <c r="C227" s="82"/>
      <c r="D227" s="82"/>
      <c r="E227" s="82"/>
      <c r="F227" s="82"/>
      <c r="G227" s="82"/>
      <c r="H227" s="83"/>
      <c r="I227" s="84"/>
      <c r="J227" s="85"/>
      <c r="K227" s="82"/>
      <c r="L227" s="82"/>
      <c r="M227" s="82"/>
    </row>
    <row r="228" ht="17.25" customHeight="1">
      <c r="A228" s="82"/>
      <c r="B228" s="82"/>
      <c r="C228" s="82"/>
      <c r="D228" s="82"/>
      <c r="E228" s="82"/>
      <c r="F228" s="82"/>
      <c r="G228" s="82"/>
      <c r="H228" s="83"/>
      <c r="I228" s="84"/>
      <c r="J228" s="85"/>
      <c r="K228" s="82"/>
      <c r="L228" s="82"/>
      <c r="M228" s="82"/>
    </row>
    <row r="229" ht="17.25" customHeight="1">
      <c r="A229" s="82"/>
      <c r="B229" s="82"/>
      <c r="C229" s="82"/>
      <c r="D229" s="82"/>
      <c r="E229" s="82"/>
      <c r="F229" s="82"/>
      <c r="G229" s="82"/>
      <c r="H229" s="83"/>
      <c r="I229" s="84"/>
      <c r="J229" s="85"/>
      <c r="K229" s="82"/>
      <c r="L229" s="82"/>
      <c r="M229" s="82"/>
    </row>
    <row r="230" ht="17.25" customHeight="1">
      <c r="A230" s="82"/>
      <c r="B230" s="82"/>
      <c r="C230" s="82"/>
      <c r="D230" s="82"/>
      <c r="E230" s="82"/>
      <c r="F230" s="82"/>
      <c r="G230" s="82"/>
      <c r="H230" s="83"/>
      <c r="I230" s="84"/>
      <c r="J230" s="85"/>
      <c r="K230" s="82"/>
      <c r="L230" s="82"/>
      <c r="M230" s="82"/>
    </row>
    <row r="231" ht="17.25" customHeight="1">
      <c r="A231" s="82"/>
      <c r="B231" s="82"/>
      <c r="C231" s="82"/>
      <c r="D231" s="82"/>
      <c r="E231" s="82"/>
      <c r="F231" s="82"/>
      <c r="G231" s="82"/>
      <c r="H231" s="83"/>
      <c r="I231" s="84"/>
      <c r="J231" s="85"/>
      <c r="K231" s="82"/>
      <c r="L231" s="82"/>
      <c r="M231" s="82"/>
    </row>
    <row r="232" ht="17.25" customHeight="1">
      <c r="A232" s="82"/>
      <c r="B232" s="82"/>
      <c r="C232" s="82"/>
      <c r="D232" s="82"/>
      <c r="E232" s="82"/>
      <c r="F232" s="82"/>
      <c r="G232" s="82"/>
      <c r="H232" s="83"/>
      <c r="I232" s="84"/>
      <c r="J232" s="85"/>
      <c r="K232" s="82"/>
      <c r="L232" s="82"/>
      <c r="M232" s="82"/>
    </row>
    <row r="233" ht="17.25" customHeight="1">
      <c r="A233" s="82"/>
      <c r="B233" s="82"/>
      <c r="C233" s="82"/>
      <c r="D233" s="82"/>
      <c r="E233" s="82"/>
      <c r="F233" s="82"/>
      <c r="G233" s="82"/>
      <c r="H233" s="83"/>
      <c r="I233" s="84"/>
      <c r="J233" s="85"/>
      <c r="K233" s="82"/>
      <c r="L233" s="82"/>
      <c r="M233" s="82"/>
    </row>
    <row r="234" ht="17.25" customHeight="1">
      <c r="A234" s="82"/>
      <c r="B234" s="82"/>
      <c r="C234" s="82"/>
      <c r="D234" s="82"/>
      <c r="E234" s="82"/>
      <c r="F234" s="82"/>
      <c r="G234" s="82"/>
      <c r="H234" s="83"/>
      <c r="I234" s="84"/>
      <c r="J234" s="85"/>
      <c r="K234" s="82"/>
      <c r="L234" s="82"/>
      <c r="M234" s="82"/>
    </row>
    <row r="235" ht="17.25" customHeight="1">
      <c r="A235" s="82"/>
      <c r="B235" s="82"/>
      <c r="C235" s="82"/>
      <c r="D235" s="82"/>
      <c r="E235" s="82"/>
      <c r="F235" s="82"/>
      <c r="G235" s="82"/>
      <c r="H235" s="83"/>
      <c r="I235" s="84"/>
      <c r="J235" s="85"/>
      <c r="K235" s="82"/>
      <c r="L235" s="82"/>
      <c r="M235" s="82"/>
    </row>
    <row r="236" ht="17.25" customHeight="1">
      <c r="A236" s="82"/>
      <c r="B236" s="82"/>
      <c r="C236" s="82"/>
      <c r="D236" s="82"/>
      <c r="E236" s="82"/>
      <c r="F236" s="82"/>
      <c r="G236" s="82"/>
      <c r="H236" s="83"/>
      <c r="I236" s="84"/>
      <c r="J236" s="85"/>
      <c r="K236" s="82"/>
      <c r="L236" s="82"/>
      <c r="M236" s="82"/>
    </row>
    <row r="237" ht="17.25" customHeight="1">
      <c r="A237" s="82"/>
      <c r="B237" s="82"/>
      <c r="C237" s="82"/>
      <c r="D237" s="82"/>
      <c r="E237" s="82"/>
      <c r="F237" s="82"/>
      <c r="G237" s="82"/>
      <c r="H237" s="83"/>
      <c r="I237" s="84"/>
      <c r="J237" s="85"/>
      <c r="K237" s="82"/>
      <c r="L237" s="82"/>
      <c r="M237" s="82"/>
    </row>
    <row r="238" ht="17.25" customHeight="1">
      <c r="A238" s="82"/>
      <c r="B238" s="82"/>
      <c r="C238" s="82"/>
      <c r="D238" s="82"/>
      <c r="E238" s="82"/>
      <c r="F238" s="82"/>
      <c r="G238" s="82"/>
      <c r="H238" s="83"/>
      <c r="I238" s="84"/>
      <c r="J238" s="85"/>
      <c r="K238" s="82"/>
      <c r="L238" s="82"/>
      <c r="M238" s="82"/>
    </row>
    <row r="239" ht="17.25" customHeight="1">
      <c r="A239" s="82"/>
      <c r="B239" s="82"/>
      <c r="C239" s="82"/>
      <c r="D239" s="82"/>
      <c r="E239" s="82"/>
      <c r="F239" s="82"/>
      <c r="G239" s="82"/>
      <c r="H239" s="83"/>
      <c r="I239" s="84"/>
      <c r="J239" s="85"/>
      <c r="K239" s="82"/>
      <c r="L239" s="82"/>
      <c r="M239" s="82"/>
    </row>
    <row r="240" ht="17.25" customHeight="1">
      <c r="A240" s="82"/>
      <c r="B240" s="82"/>
      <c r="C240" s="82"/>
      <c r="D240" s="82"/>
      <c r="E240" s="82"/>
      <c r="F240" s="82"/>
      <c r="G240" s="82"/>
      <c r="H240" s="83"/>
      <c r="I240" s="84"/>
      <c r="J240" s="85"/>
      <c r="K240" s="82"/>
      <c r="L240" s="82"/>
      <c r="M240" s="82"/>
    </row>
    <row r="241" ht="17.25" customHeight="1">
      <c r="A241" s="82"/>
      <c r="B241" s="82"/>
      <c r="C241" s="82"/>
      <c r="D241" s="82"/>
      <c r="E241" s="82"/>
      <c r="F241" s="82"/>
      <c r="G241" s="82"/>
      <c r="H241" s="83"/>
      <c r="I241" s="84"/>
      <c r="J241" s="85"/>
      <c r="K241" s="82"/>
      <c r="L241" s="82"/>
      <c r="M241" s="82"/>
    </row>
    <row r="242" ht="17.25" customHeight="1">
      <c r="A242" s="82"/>
      <c r="B242" s="82"/>
      <c r="C242" s="82"/>
      <c r="D242" s="82"/>
      <c r="E242" s="82"/>
      <c r="F242" s="82"/>
      <c r="G242" s="82"/>
      <c r="H242" s="83"/>
      <c r="I242" s="84"/>
      <c r="J242" s="85"/>
      <c r="K242" s="82"/>
      <c r="L242" s="82"/>
      <c r="M242" s="82"/>
    </row>
    <row r="243" ht="17.25" customHeight="1">
      <c r="A243" s="82"/>
      <c r="B243" s="82"/>
      <c r="C243" s="82"/>
      <c r="D243" s="82"/>
      <c r="E243" s="82"/>
      <c r="F243" s="82"/>
      <c r="G243" s="82"/>
      <c r="H243" s="83"/>
      <c r="I243" s="84"/>
      <c r="J243" s="85"/>
      <c r="K243" s="82"/>
      <c r="L243" s="82"/>
      <c r="M243" s="82"/>
    </row>
    <row r="244" ht="17.25" customHeight="1">
      <c r="A244" s="82"/>
      <c r="B244" s="82"/>
      <c r="C244" s="82"/>
      <c r="D244" s="82"/>
      <c r="E244" s="82"/>
      <c r="F244" s="82"/>
      <c r="G244" s="82"/>
      <c r="H244" s="83"/>
      <c r="I244" s="84"/>
      <c r="J244" s="85"/>
      <c r="K244" s="82"/>
      <c r="L244" s="82"/>
      <c r="M244" s="82"/>
    </row>
    <row r="245" ht="17.25" customHeight="1">
      <c r="A245" s="82"/>
      <c r="B245" s="82"/>
      <c r="C245" s="82"/>
      <c r="D245" s="82"/>
      <c r="E245" s="82"/>
      <c r="F245" s="82"/>
      <c r="G245" s="82"/>
      <c r="H245" s="83"/>
      <c r="I245" s="84"/>
      <c r="J245" s="85"/>
      <c r="K245" s="82"/>
      <c r="L245" s="82"/>
      <c r="M245" s="82"/>
    </row>
    <row r="246" ht="17.25" customHeight="1">
      <c r="A246" s="82"/>
      <c r="B246" s="82"/>
      <c r="C246" s="82"/>
      <c r="D246" s="82"/>
      <c r="E246" s="82"/>
      <c r="F246" s="82"/>
      <c r="G246" s="82"/>
      <c r="H246" s="83"/>
      <c r="I246" s="84"/>
      <c r="J246" s="85"/>
      <c r="K246" s="82"/>
      <c r="L246" s="82"/>
      <c r="M246" s="82"/>
    </row>
    <row r="247" ht="17.25" customHeight="1">
      <c r="A247" s="82"/>
      <c r="B247" s="82"/>
      <c r="C247" s="82"/>
      <c r="D247" s="82"/>
      <c r="E247" s="82"/>
      <c r="F247" s="82"/>
      <c r="G247" s="82"/>
      <c r="H247" s="83"/>
      <c r="I247" s="84"/>
      <c r="J247" s="85"/>
      <c r="K247" s="82"/>
      <c r="L247" s="82"/>
      <c r="M247" s="82"/>
    </row>
    <row r="248" ht="17.25" customHeight="1">
      <c r="A248" s="82"/>
      <c r="B248" s="82"/>
      <c r="C248" s="82"/>
      <c r="D248" s="82"/>
      <c r="E248" s="82"/>
      <c r="F248" s="82"/>
      <c r="G248" s="82"/>
      <c r="H248" s="83"/>
      <c r="I248" s="84"/>
      <c r="J248" s="85"/>
      <c r="K248" s="82"/>
      <c r="L248" s="82"/>
      <c r="M248" s="82"/>
    </row>
    <row r="249" ht="17.25" customHeight="1">
      <c r="A249" s="82"/>
      <c r="B249" s="82"/>
      <c r="C249" s="82"/>
      <c r="D249" s="82"/>
      <c r="E249" s="82"/>
      <c r="F249" s="82"/>
      <c r="G249" s="82"/>
      <c r="H249" s="83"/>
      <c r="I249" s="84"/>
      <c r="J249" s="85"/>
      <c r="K249" s="82"/>
      <c r="L249" s="82"/>
      <c r="M249" s="82"/>
    </row>
    <row r="250" ht="17.25" customHeight="1">
      <c r="A250" s="82"/>
      <c r="B250" s="82"/>
      <c r="C250" s="82"/>
      <c r="D250" s="82"/>
      <c r="E250" s="82"/>
      <c r="F250" s="82"/>
      <c r="G250" s="82"/>
      <c r="H250" s="83"/>
      <c r="I250" s="84"/>
      <c r="J250" s="85"/>
      <c r="K250" s="82"/>
      <c r="L250" s="82"/>
      <c r="M250" s="82"/>
    </row>
    <row r="251" ht="17.25" customHeight="1">
      <c r="A251" s="82"/>
      <c r="B251" s="82"/>
      <c r="C251" s="82"/>
      <c r="D251" s="82"/>
      <c r="E251" s="82"/>
      <c r="F251" s="82"/>
      <c r="G251" s="82"/>
      <c r="H251" s="83"/>
      <c r="I251" s="84"/>
      <c r="J251" s="85"/>
      <c r="K251" s="82"/>
      <c r="L251" s="82"/>
      <c r="M251" s="82"/>
    </row>
    <row r="252" ht="17.25" customHeight="1">
      <c r="A252" s="82"/>
      <c r="B252" s="82"/>
      <c r="C252" s="82"/>
      <c r="D252" s="82"/>
      <c r="E252" s="82"/>
      <c r="F252" s="82"/>
      <c r="G252" s="82"/>
      <c r="H252" s="83"/>
      <c r="I252" s="84"/>
      <c r="J252" s="85"/>
      <c r="K252" s="82"/>
      <c r="L252" s="82"/>
      <c r="M252" s="82"/>
    </row>
    <row r="253" ht="17.25" customHeight="1">
      <c r="A253" s="82"/>
      <c r="B253" s="82"/>
      <c r="C253" s="82"/>
      <c r="D253" s="82"/>
      <c r="E253" s="82"/>
      <c r="F253" s="82"/>
      <c r="G253" s="82"/>
      <c r="H253" s="83"/>
      <c r="I253" s="84"/>
      <c r="J253" s="85"/>
      <c r="K253" s="82"/>
      <c r="L253" s="82"/>
      <c r="M253" s="82"/>
    </row>
    <row r="254" ht="17.25" customHeight="1">
      <c r="A254" s="82"/>
      <c r="B254" s="82"/>
      <c r="C254" s="82"/>
      <c r="D254" s="82"/>
      <c r="E254" s="82"/>
      <c r="F254" s="82"/>
      <c r="G254" s="82"/>
      <c r="H254" s="83"/>
      <c r="I254" s="84"/>
      <c r="J254" s="85"/>
      <c r="K254" s="82"/>
      <c r="L254" s="82"/>
      <c r="M254" s="82"/>
    </row>
    <row r="255" ht="17.25" customHeight="1">
      <c r="A255" s="82"/>
      <c r="B255" s="82"/>
      <c r="C255" s="82"/>
      <c r="D255" s="82"/>
      <c r="E255" s="82"/>
      <c r="F255" s="82"/>
      <c r="G255" s="82"/>
      <c r="H255" s="83"/>
      <c r="I255" s="84"/>
      <c r="J255" s="85"/>
      <c r="K255" s="82"/>
      <c r="L255" s="82"/>
      <c r="M255" s="82"/>
    </row>
    <row r="256" ht="17.25" customHeight="1">
      <c r="A256" s="82"/>
      <c r="B256" s="82"/>
      <c r="C256" s="82"/>
      <c r="D256" s="82"/>
      <c r="E256" s="82"/>
      <c r="F256" s="82"/>
      <c r="G256" s="82"/>
      <c r="H256" s="83"/>
      <c r="I256" s="84"/>
      <c r="J256" s="85"/>
      <c r="K256" s="82"/>
      <c r="L256" s="82"/>
      <c r="M256" s="82"/>
    </row>
    <row r="257" ht="17.25" customHeight="1">
      <c r="A257" s="82"/>
      <c r="B257" s="82"/>
      <c r="C257" s="82"/>
      <c r="D257" s="82"/>
      <c r="E257" s="82"/>
      <c r="F257" s="82"/>
      <c r="G257" s="82"/>
      <c r="H257" s="83"/>
      <c r="I257" s="84"/>
      <c r="J257" s="85"/>
      <c r="K257" s="82"/>
      <c r="L257" s="82"/>
      <c r="M257" s="82"/>
    </row>
    <row r="258" ht="17.25" customHeight="1">
      <c r="A258" s="82"/>
      <c r="B258" s="82"/>
      <c r="C258" s="82"/>
      <c r="D258" s="82"/>
      <c r="E258" s="82"/>
      <c r="F258" s="82"/>
      <c r="G258" s="82"/>
      <c r="H258" s="83"/>
      <c r="I258" s="84"/>
      <c r="J258" s="85"/>
      <c r="K258" s="82"/>
      <c r="L258" s="82"/>
      <c r="M258" s="82"/>
    </row>
    <row r="259" ht="17.25" customHeight="1">
      <c r="A259" s="82"/>
      <c r="B259" s="82"/>
      <c r="C259" s="82"/>
      <c r="D259" s="82"/>
      <c r="E259" s="82"/>
      <c r="F259" s="82"/>
      <c r="G259" s="82"/>
      <c r="H259" s="83"/>
      <c r="I259" s="84"/>
      <c r="J259" s="85"/>
      <c r="K259" s="82"/>
      <c r="L259" s="82"/>
      <c r="M259" s="82"/>
    </row>
    <row r="260" ht="17.25" customHeight="1">
      <c r="A260" s="82"/>
      <c r="B260" s="82"/>
      <c r="C260" s="82"/>
      <c r="D260" s="82"/>
      <c r="E260" s="82"/>
      <c r="F260" s="82"/>
      <c r="G260" s="82"/>
      <c r="H260" s="83"/>
      <c r="I260" s="84"/>
      <c r="J260" s="85"/>
      <c r="K260" s="82"/>
      <c r="L260" s="82"/>
      <c r="M260" s="82"/>
    </row>
    <row r="261" ht="17.25" customHeight="1">
      <c r="A261" s="82"/>
      <c r="B261" s="82"/>
      <c r="C261" s="82"/>
      <c r="D261" s="82"/>
      <c r="E261" s="82"/>
      <c r="F261" s="82"/>
      <c r="G261" s="82"/>
      <c r="H261" s="83"/>
      <c r="I261" s="84"/>
      <c r="J261" s="85"/>
      <c r="K261" s="82"/>
      <c r="L261" s="82"/>
      <c r="M261" s="82"/>
    </row>
    <row r="262" ht="17.25" customHeight="1">
      <c r="A262" s="82"/>
      <c r="B262" s="82"/>
      <c r="C262" s="82"/>
      <c r="D262" s="82"/>
      <c r="E262" s="82"/>
      <c r="F262" s="82"/>
      <c r="G262" s="82"/>
      <c r="H262" s="83"/>
      <c r="I262" s="84"/>
      <c r="J262" s="85"/>
      <c r="K262" s="82"/>
      <c r="L262" s="82"/>
      <c r="M262" s="82"/>
    </row>
    <row r="263" ht="17.25" customHeight="1">
      <c r="A263" s="82"/>
      <c r="B263" s="82"/>
      <c r="C263" s="82"/>
      <c r="D263" s="82"/>
      <c r="E263" s="82"/>
      <c r="F263" s="82"/>
      <c r="G263" s="82"/>
      <c r="H263" s="83"/>
      <c r="I263" s="84"/>
      <c r="J263" s="85"/>
      <c r="K263" s="82"/>
      <c r="L263" s="82"/>
      <c r="M263" s="82"/>
    </row>
    <row r="264" ht="17.25" customHeight="1">
      <c r="A264" s="82"/>
      <c r="B264" s="82"/>
      <c r="C264" s="82"/>
      <c r="D264" s="82"/>
      <c r="E264" s="82"/>
      <c r="F264" s="82"/>
      <c r="G264" s="82"/>
      <c r="H264" s="83"/>
      <c r="I264" s="84"/>
      <c r="J264" s="85"/>
      <c r="K264" s="82"/>
      <c r="L264" s="82"/>
      <c r="M264" s="82"/>
    </row>
    <row r="265" ht="17.25" customHeight="1">
      <c r="A265" s="82"/>
      <c r="B265" s="82"/>
      <c r="C265" s="82"/>
      <c r="D265" s="82"/>
      <c r="E265" s="82"/>
      <c r="F265" s="82"/>
      <c r="G265" s="82"/>
      <c r="H265" s="83"/>
      <c r="I265" s="84"/>
      <c r="J265" s="85"/>
      <c r="K265" s="82"/>
      <c r="L265" s="82"/>
      <c r="M265" s="82"/>
    </row>
    <row r="266" ht="17.25" customHeight="1">
      <c r="A266" s="82"/>
      <c r="B266" s="82"/>
      <c r="C266" s="82"/>
      <c r="D266" s="82"/>
      <c r="E266" s="82"/>
      <c r="F266" s="82"/>
      <c r="G266" s="82"/>
      <c r="H266" s="83"/>
      <c r="I266" s="84"/>
      <c r="J266" s="85"/>
      <c r="K266" s="82"/>
      <c r="L266" s="82"/>
      <c r="M266" s="82"/>
    </row>
    <row r="267" ht="17.25" customHeight="1">
      <c r="A267" s="82"/>
      <c r="B267" s="82"/>
      <c r="C267" s="82"/>
      <c r="D267" s="82"/>
      <c r="E267" s="82"/>
      <c r="F267" s="82"/>
      <c r="G267" s="82"/>
      <c r="H267" s="83"/>
      <c r="I267" s="84"/>
      <c r="J267" s="85"/>
      <c r="K267" s="82"/>
      <c r="L267" s="82"/>
      <c r="M267" s="82"/>
    </row>
    <row r="268" ht="17.25" customHeight="1">
      <c r="A268" s="82"/>
      <c r="B268" s="82"/>
      <c r="C268" s="82"/>
      <c r="D268" s="82"/>
      <c r="E268" s="82"/>
      <c r="F268" s="82"/>
      <c r="G268" s="82"/>
      <c r="H268" s="83"/>
      <c r="I268" s="84"/>
      <c r="J268" s="85"/>
      <c r="K268" s="82"/>
      <c r="L268" s="82"/>
      <c r="M268" s="82"/>
    </row>
    <row r="269" ht="17.25" customHeight="1">
      <c r="A269" s="82"/>
      <c r="B269" s="82"/>
      <c r="C269" s="82"/>
      <c r="D269" s="82"/>
      <c r="E269" s="82"/>
      <c r="F269" s="82"/>
      <c r="G269" s="82"/>
      <c r="H269" s="83"/>
      <c r="I269" s="84"/>
      <c r="J269" s="85"/>
      <c r="K269" s="82"/>
      <c r="L269" s="82"/>
      <c r="M269" s="82"/>
    </row>
    <row r="270" ht="17.25" customHeight="1">
      <c r="A270" s="82"/>
      <c r="B270" s="82"/>
      <c r="C270" s="82"/>
      <c r="D270" s="82"/>
      <c r="E270" s="82"/>
      <c r="F270" s="82"/>
      <c r="G270" s="82"/>
      <c r="H270" s="83"/>
      <c r="I270" s="84"/>
      <c r="J270" s="85"/>
      <c r="K270" s="82"/>
      <c r="L270" s="82"/>
      <c r="M270" s="82"/>
    </row>
    <row r="271" ht="17.25" customHeight="1">
      <c r="A271" s="82"/>
      <c r="B271" s="82"/>
      <c r="C271" s="82"/>
      <c r="D271" s="82"/>
      <c r="E271" s="82"/>
      <c r="F271" s="82"/>
      <c r="G271" s="82"/>
      <c r="H271" s="83"/>
      <c r="I271" s="84"/>
      <c r="J271" s="85"/>
      <c r="K271" s="82"/>
      <c r="L271" s="82"/>
      <c r="M271" s="82"/>
    </row>
    <row r="272" ht="17.25" customHeight="1">
      <c r="A272" s="82"/>
      <c r="B272" s="82"/>
      <c r="C272" s="82"/>
      <c r="D272" s="82"/>
      <c r="E272" s="82"/>
      <c r="F272" s="82"/>
      <c r="G272" s="82"/>
      <c r="H272" s="83"/>
      <c r="I272" s="84"/>
      <c r="J272" s="85"/>
      <c r="K272" s="82"/>
      <c r="L272" s="82"/>
      <c r="M272" s="82"/>
    </row>
    <row r="273" ht="17.25" customHeight="1">
      <c r="A273" s="82"/>
      <c r="B273" s="82"/>
      <c r="C273" s="82"/>
      <c r="D273" s="82"/>
      <c r="E273" s="82"/>
      <c r="F273" s="82"/>
      <c r="G273" s="82"/>
      <c r="H273" s="83"/>
      <c r="I273" s="84"/>
      <c r="J273" s="85"/>
      <c r="K273" s="82"/>
      <c r="L273" s="82"/>
      <c r="M273" s="82"/>
    </row>
    <row r="274" ht="17.25" customHeight="1">
      <c r="A274" s="82"/>
      <c r="B274" s="82"/>
      <c r="C274" s="82"/>
      <c r="D274" s="82"/>
      <c r="E274" s="82"/>
      <c r="F274" s="82"/>
      <c r="G274" s="82"/>
      <c r="H274" s="83"/>
      <c r="I274" s="84"/>
      <c r="J274" s="85"/>
      <c r="K274" s="82"/>
      <c r="L274" s="82"/>
      <c r="M274" s="82"/>
    </row>
    <row r="275" ht="17.25" customHeight="1">
      <c r="A275" s="82"/>
      <c r="B275" s="82"/>
      <c r="C275" s="82"/>
      <c r="D275" s="82"/>
      <c r="E275" s="82"/>
      <c r="F275" s="82"/>
      <c r="G275" s="82"/>
      <c r="H275" s="83"/>
      <c r="I275" s="84"/>
      <c r="J275" s="85"/>
      <c r="K275" s="82"/>
      <c r="L275" s="82"/>
      <c r="M275" s="82"/>
    </row>
    <row r="276" ht="17.25" customHeight="1">
      <c r="A276" s="82"/>
      <c r="B276" s="82"/>
      <c r="C276" s="82"/>
      <c r="D276" s="82"/>
      <c r="E276" s="82"/>
      <c r="F276" s="82"/>
      <c r="G276" s="82"/>
      <c r="H276" s="83"/>
      <c r="I276" s="84"/>
      <c r="J276" s="85"/>
      <c r="K276" s="82"/>
      <c r="L276" s="82"/>
      <c r="M276" s="82"/>
    </row>
    <row r="277" ht="17.25" customHeight="1">
      <c r="A277" s="82"/>
      <c r="B277" s="82"/>
      <c r="C277" s="82"/>
      <c r="D277" s="82"/>
      <c r="E277" s="82"/>
      <c r="F277" s="82"/>
      <c r="G277" s="82"/>
      <c r="H277" s="83"/>
      <c r="I277" s="84"/>
      <c r="J277" s="85"/>
      <c r="K277" s="82"/>
      <c r="L277" s="82"/>
      <c r="M277" s="82"/>
    </row>
    <row r="278" ht="17.25" customHeight="1">
      <c r="A278" s="82"/>
      <c r="B278" s="82"/>
      <c r="C278" s="82"/>
      <c r="D278" s="82"/>
      <c r="E278" s="82"/>
      <c r="F278" s="82"/>
      <c r="G278" s="82"/>
      <c r="H278" s="83"/>
      <c r="I278" s="84"/>
      <c r="J278" s="85"/>
      <c r="K278" s="82"/>
      <c r="L278" s="82"/>
      <c r="M278" s="82"/>
    </row>
    <row r="279" ht="17.25" customHeight="1">
      <c r="A279" s="82"/>
      <c r="B279" s="82"/>
      <c r="C279" s="82"/>
      <c r="D279" s="82"/>
      <c r="E279" s="82"/>
      <c r="F279" s="82"/>
      <c r="G279" s="82"/>
      <c r="H279" s="83"/>
      <c r="I279" s="84"/>
      <c r="J279" s="85"/>
      <c r="K279" s="82"/>
      <c r="L279" s="82"/>
      <c r="M279" s="82"/>
    </row>
    <row r="280" ht="17.25" customHeight="1">
      <c r="A280" s="82"/>
      <c r="B280" s="82"/>
      <c r="C280" s="82"/>
      <c r="D280" s="82"/>
      <c r="E280" s="82"/>
      <c r="F280" s="82"/>
      <c r="G280" s="82"/>
      <c r="H280" s="83"/>
      <c r="I280" s="84"/>
      <c r="J280" s="85"/>
      <c r="K280" s="82"/>
      <c r="L280" s="82"/>
      <c r="M280" s="82"/>
    </row>
    <row r="281" ht="17.25" customHeight="1">
      <c r="A281" s="82"/>
      <c r="B281" s="82"/>
      <c r="C281" s="82"/>
      <c r="D281" s="82"/>
      <c r="E281" s="82"/>
      <c r="F281" s="82"/>
      <c r="G281" s="82"/>
      <c r="H281" s="83"/>
      <c r="I281" s="84"/>
      <c r="J281" s="85"/>
      <c r="K281" s="82"/>
      <c r="L281" s="82"/>
      <c r="M281" s="82"/>
    </row>
    <row r="282" ht="17.25" customHeight="1">
      <c r="A282" s="82"/>
      <c r="B282" s="82"/>
      <c r="C282" s="82"/>
      <c r="D282" s="82"/>
      <c r="E282" s="82"/>
      <c r="F282" s="82"/>
      <c r="G282" s="82"/>
      <c r="H282" s="83"/>
      <c r="I282" s="84"/>
      <c r="J282" s="85"/>
      <c r="K282" s="82"/>
      <c r="L282" s="82"/>
      <c r="M282" s="82"/>
    </row>
    <row r="283" ht="17.25" customHeight="1">
      <c r="A283" s="82"/>
      <c r="B283" s="82"/>
      <c r="C283" s="82"/>
      <c r="D283" s="82"/>
      <c r="E283" s="82"/>
      <c r="F283" s="82"/>
      <c r="G283" s="82"/>
      <c r="H283" s="83"/>
      <c r="I283" s="84"/>
      <c r="J283" s="85"/>
      <c r="K283" s="82"/>
      <c r="L283" s="82"/>
      <c r="M283" s="82"/>
    </row>
    <row r="284" ht="17.25" customHeight="1">
      <c r="A284" s="82"/>
      <c r="B284" s="82"/>
      <c r="C284" s="82"/>
      <c r="D284" s="82"/>
      <c r="E284" s="82"/>
      <c r="F284" s="82"/>
      <c r="G284" s="82"/>
      <c r="H284" s="83"/>
      <c r="I284" s="84"/>
      <c r="J284" s="85"/>
      <c r="K284" s="82"/>
      <c r="L284" s="82"/>
      <c r="M284" s="82"/>
    </row>
    <row r="285" ht="17.25" customHeight="1">
      <c r="A285" s="82"/>
      <c r="B285" s="82"/>
      <c r="C285" s="82"/>
      <c r="D285" s="82"/>
      <c r="E285" s="82"/>
      <c r="F285" s="82"/>
      <c r="G285" s="82"/>
      <c r="H285" s="83"/>
      <c r="I285" s="84"/>
      <c r="J285" s="85"/>
      <c r="K285" s="82"/>
      <c r="L285" s="82"/>
      <c r="M285" s="82"/>
    </row>
    <row r="286" ht="17.25" customHeight="1">
      <c r="A286" s="82"/>
      <c r="B286" s="82"/>
      <c r="C286" s="82"/>
      <c r="D286" s="82"/>
      <c r="E286" s="82"/>
      <c r="F286" s="82"/>
      <c r="G286" s="82"/>
      <c r="H286" s="83"/>
      <c r="I286" s="84"/>
      <c r="J286" s="85"/>
      <c r="K286" s="82"/>
      <c r="L286" s="82"/>
      <c r="M286" s="82"/>
    </row>
    <row r="287" ht="17.25" customHeight="1">
      <c r="A287" s="82"/>
      <c r="B287" s="82"/>
      <c r="C287" s="82"/>
      <c r="D287" s="82"/>
      <c r="E287" s="82"/>
      <c r="F287" s="82"/>
      <c r="G287" s="82"/>
      <c r="H287" s="83"/>
      <c r="I287" s="84"/>
      <c r="J287" s="85"/>
      <c r="K287" s="82"/>
      <c r="L287" s="82"/>
      <c r="M287" s="82"/>
    </row>
    <row r="288" ht="17.25" customHeight="1">
      <c r="A288" s="82"/>
      <c r="B288" s="82"/>
      <c r="C288" s="82"/>
      <c r="D288" s="82"/>
      <c r="E288" s="82"/>
      <c r="F288" s="82"/>
      <c r="G288" s="82"/>
      <c r="H288" s="83"/>
      <c r="I288" s="84"/>
      <c r="J288" s="85"/>
      <c r="K288" s="82"/>
      <c r="L288" s="82"/>
      <c r="M288" s="82"/>
    </row>
    <row r="289" ht="17.25" customHeight="1">
      <c r="A289" s="82"/>
      <c r="B289" s="82"/>
      <c r="C289" s="82"/>
      <c r="D289" s="82"/>
      <c r="E289" s="82"/>
      <c r="F289" s="82"/>
      <c r="G289" s="82"/>
      <c r="H289" s="83"/>
      <c r="I289" s="84"/>
      <c r="J289" s="85"/>
      <c r="K289" s="82"/>
      <c r="L289" s="82"/>
      <c r="M289" s="82"/>
    </row>
    <row r="290" ht="17.25" customHeight="1">
      <c r="A290" s="82"/>
      <c r="B290" s="82"/>
      <c r="C290" s="82"/>
      <c r="D290" s="82"/>
      <c r="E290" s="82"/>
      <c r="F290" s="82"/>
      <c r="G290" s="82"/>
      <c r="H290" s="83"/>
      <c r="I290" s="84"/>
      <c r="J290" s="85"/>
      <c r="K290" s="82"/>
      <c r="L290" s="82"/>
      <c r="M290" s="82"/>
    </row>
    <row r="291" ht="17.25" customHeight="1">
      <c r="A291" s="82"/>
      <c r="B291" s="82"/>
      <c r="C291" s="82"/>
      <c r="D291" s="82"/>
      <c r="E291" s="82"/>
      <c r="F291" s="82"/>
      <c r="G291" s="82"/>
      <c r="H291" s="83"/>
      <c r="I291" s="84"/>
      <c r="J291" s="85"/>
      <c r="K291" s="82"/>
      <c r="L291" s="82"/>
      <c r="M291" s="82"/>
    </row>
    <row r="292" ht="17.25" customHeight="1">
      <c r="A292" s="82"/>
      <c r="B292" s="82"/>
      <c r="C292" s="82"/>
      <c r="D292" s="82"/>
      <c r="E292" s="82"/>
      <c r="F292" s="82"/>
      <c r="G292" s="82"/>
      <c r="H292" s="83"/>
      <c r="I292" s="84"/>
      <c r="J292" s="85"/>
      <c r="K292" s="82"/>
      <c r="L292" s="82"/>
      <c r="M292" s="82"/>
    </row>
    <row r="293" ht="17.25" customHeight="1">
      <c r="A293" s="82"/>
      <c r="B293" s="82"/>
      <c r="C293" s="82"/>
      <c r="D293" s="82"/>
      <c r="E293" s="82"/>
      <c r="F293" s="82"/>
      <c r="G293" s="82"/>
      <c r="H293" s="83"/>
      <c r="I293" s="84"/>
      <c r="J293" s="85"/>
      <c r="K293" s="82"/>
      <c r="L293" s="82"/>
      <c r="M293" s="82"/>
    </row>
    <row r="294" ht="17.25" customHeight="1">
      <c r="A294" s="82"/>
      <c r="B294" s="82"/>
      <c r="C294" s="82"/>
      <c r="D294" s="82"/>
      <c r="E294" s="82"/>
      <c r="F294" s="82"/>
      <c r="G294" s="82"/>
      <c r="H294" s="83"/>
      <c r="I294" s="84"/>
      <c r="J294" s="85"/>
      <c r="K294" s="82"/>
      <c r="L294" s="82"/>
      <c r="M294" s="82"/>
    </row>
    <row r="295" ht="17.25" customHeight="1">
      <c r="A295" s="82"/>
      <c r="B295" s="82"/>
      <c r="C295" s="82"/>
      <c r="D295" s="82"/>
      <c r="E295" s="82"/>
      <c r="F295" s="82"/>
      <c r="G295" s="82"/>
      <c r="H295" s="83"/>
      <c r="I295" s="84"/>
      <c r="J295" s="85"/>
      <c r="K295" s="82"/>
      <c r="L295" s="82"/>
      <c r="M295" s="82"/>
    </row>
    <row r="296" ht="17.25" customHeight="1">
      <c r="A296" s="82"/>
      <c r="B296" s="82"/>
      <c r="C296" s="82"/>
      <c r="D296" s="82"/>
      <c r="E296" s="82"/>
      <c r="F296" s="82"/>
      <c r="G296" s="82"/>
      <c r="H296" s="83"/>
      <c r="I296" s="84"/>
      <c r="J296" s="85"/>
      <c r="K296" s="82"/>
      <c r="L296" s="82"/>
      <c r="M296" s="82"/>
    </row>
    <row r="297" ht="17.25" customHeight="1">
      <c r="A297" s="82"/>
      <c r="B297" s="82"/>
      <c r="C297" s="82"/>
      <c r="D297" s="82"/>
      <c r="E297" s="82"/>
      <c r="F297" s="82"/>
      <c r="G297" s="82"/>
      <c r="H297" s="83"/>
      <c r="I297" s="84"/>
      <c r="J297" s="85"/>
      <c r="K297" s="82"/>
      <c r="L297" s="82"/>
      <c r="M297" s="82"/>
    </row>
    <row r="298" ht="17.25" customHeight="1">
      <c r="A298" s="82"/>
      <c r="B298" s="82"/>
      <c r="C298" s="82"/>
      <c r="D298" s="82"/>
      <c r="E298" s="82"/>
      <c r="F298" s="82"/>
      <c r="G298" s="82"/>
      <c r="H298" s="83"/>
      <c r="I298" s="84"/>
      <c r="J298" s="85"/>
      <c r="K298" s="82"/>
      <c r="L298" s="82"/>
      <c r="M298" s="82"/>
    </row>
    <row r="299" ht="17.25" customHeight="1">
      <c r="A299" s="82"/>
      <c r="B299" s="82"/>
      <c r="C299" s="82"/>
      <c r="D299" s="82"/>
      <c r="E299" s="82"/>
      <c r="F299" s="82"/>
      <c r="G299" s="82"/>
      <c r="H299" s="83"/>
      <c r="I299" s="84"/>
      <c r="J299" s="85"/>
      <c r="K299" s="82"/>
      <c r="L299" s="82"/>
      <c r="M299" s="82"/>
    </row>
    <row r="300" ht="17.25" customHeight="1">
      <c r="A300" s="82"/>
      <c r="B300" s="82"/>
      <c r="C300" s="82"/>
      <c r="D300" s="82"/>
      <c r="E300" s="82"/>
      <c r="F300" s="82"/>
      <c r="G300" s="82"/>
      <c r="H300" s="83"/>
      <c r="I300" s="84"/>
      <c r="J300" s="85"/>
      <c r="K300" s="82"/>
      <c r="L300" s="82"/>
      <c r="M300" s="82"/>
    </row>
    <row r="301" ht="17.25" customHeight="1">
      <c r="A301" s="82"/>
      <c r="B301" s="82"/>
      <c r="C301" s="82"/>
      <c r="D301" s="82"/>
      <c r="E301" s="82"/>
      <c r="F301" s="82"/>
      <c r="G301" s="82"/>
      <c r="H301" s="83"/>
      <c r="I301" s="84"/>
      <c r="J301" s="85"/>
      <c r="K301" s="82"/>
      <c r="L301" s="82"/>
      <c r="M301" s="82"/>
    </row>
    <row r="302" ht="17.25" customHeight="1">
      <c r="A302" s="82"/>
      <c r="B302" s="82"/>
      <c r="C302" s="82"/>
      <c r="D302" s="82"/>
      <c r="E302" s="82"/>
      <c r="F302" s="82"/>
      <c r="G302" s="82"/>
      <c r="H302" s="83"/>
      <c r="I302" s="84"/>
      <c r="J302" s="85"/>
      <c r="K302" s="82"/>
      <c r="L302" s="82"/>
      <c r="M302" s="82"/>
    </row>
    <row r="303" ht="17.25" customHeight="1">
      <c r="A303" s="82"/>
      <c r="B303" s="82"/>
      <c r="C303" s="82"/>
      <c r="D303" s="82"/>
      <c r="E303" s="82"/>
      <c r="F303" s="82"/>
      <c r="G303" s="82"/>
      <c r="H303" s="83"/>
      <c r="I303" s="84"/>
      <c r="J303" s="85"/>
      <c r="K303" s="82"/>
      <c r="L303" s="82"/>
      <c r="M303" s="82"/>
    </row>
    <row r="304" ht="17.25" customHeight="1">
      <c r="A304" s="82"/>
      <c r="B304" s="82"/>
      <c r="C304" s="82"/>
      <c r="D304" s="82"/>
      <c r="E304" s="82"/>
      <c r="F304" s="82"/>
      <c r="G304" s="82"/>
      <c r="H304" s="83"/>
      <c r="I304" s="84"/>
      <c r="J304" s="85"/>
      <c r="K304" s="82"/>
      <c r="L304" s="82"/>
      <c r="M304" s="82"/>
    </row>
    <row r="305" ht="17.25" customHeight="1">
      <c r="A305" s="82"/>
      <c r="B305" s="82"/>
      <c r="C305" s="82"/>
      <c r="D305" s="82"/>
      <c r="E305" s="82"/>
      <c r="F305" s="82"/>
      <c r="G305" s="82"/>
      <c r="H305" s="83"/>
      <c r="I305" s="84"/>
      <c r="J305" s="85"/>
      <c r="K305" s="82"/>
      <c r="L305" s="82"/>
      <c r="M305" s="82"/>
    </row>
    <row r="306" ht="17.25" customHeight="1">
      <c r="A306" s="82"/>
      <c r="B306" s="82"/>
      <c r="C306" s="82"/>
      <c r="D306" s="82"/>
      <c r="E306" s="82"/>
      <c r="F306" s="82"/>
      <c r="G306" s="82"/>
      <c r="H306" s="83"/>
      <c r="I306" s="84"/>
      <c r="J306" s="85"/>
      <c r="K306" s="82"/>
      <c r="L306" s="82"/>
      <c r="M306" s="82"/>
    </row>
    <row r="307" ht="17.25" customHeight="1">
      <c r="A307" s="82"/>
      <c r="B307" s="82"/>
      <c r="C307" s="82"/>
      <c r="D307" s="82"/>
      <c r="E307" s="82"/>
      <c r="F307" s="82"/>
      <c r="G307" s="82"/>
      <c r="H307" s="83"/>
      <c r="I307" s="84"/>
      <c r="J307" s="85"/>
      <c r="K307" s="82"/>
      <c r="L307" s="82"/>
      <c r="M307" s="82"/>
    </row>
    <row r="308" ht="17.25" customHeight="1">
      <c r="A308" s="82"/>
      <c r="B308" s="82"/>
      <c r="C308" s="82"/>
      <c r="D308" s="82"/>
      <c r="E308" s="82"/>
      <c r="F308" s="82"/>
      <c r="G308" s="82"/>
      <c r="H308" s="83"/>
      <c r="I308" s="84"/>
      <c r="J308" s="85"/>
      <c r="K308" s="82"/>
      <c r="L308" s="82"/>
      <c r="M308" s="82"/>
    </row>
    <row r="309" ht="17.25" customHeight="1">
      <c r="A309" s="82"/>
      <c r="B309" s="82"/>
      <c r="C309" s="82"/>
      <c r="D309" s="82"/>
      <c r="E309" s="82"/>
      <c r="F309" s="82"/>
      <c r="G309" s="82"/>
      <c r="H309" s="83"/>
      <c r="I309" s="84"/>
      <c r="J309" s="85"/>
      <c r="K309" s="82"/>
      <c r="L309" s="82"/>
      <c r="M309" s="82"/>
    </row>
    <row r="310" ht="17.25" customHeight="1">
      <c r="A310" s="82"/>
      <c r="B310" s="82"/>
      <c r="C310" s="82"/>
      <c r="D310" s="82"/>
      <c r="E310" s="82"/>
      <c r="F310" s="82"/>
      <c r="G310" s="82"/>
      <c r="H310" s="83"/>
      <c r="I310" s="84"/>
      <c r="J310" s="85"/>
      <c r="K310" s="82"/>
      <c r="L310" s="82"/>
      <c r="M310" s="82"/>
    </row>
    <row r="311" ht="17.25" customHeight="1">
      <c r="A311" s="82"/>
      <c r="B311" s="82"/>
      <c r="C311" s="82"/>
      <c r="D311" s="82"/>
      <c r="E311" s="82"/>
      <c r="F311" s="82"/>
      <c r="G311" s="82"/>
      <c r="H311" s="83"/>
      <c r="I311" s="84"/>
      <c r="J311" s="85"/>
      <c r="K311" s="82"/>
      <c r="L311" s="82"/>
      <c r="M311" s="82"/>
    </row>
    <row r="312" ht="17.25" customHeight="1">
      <c r="A312" s="82"/>
      <c r="B312" s="82"/>
      <c r="C312" s="82"/>
      <c r="D312" s="82"/>
      <c r="E312" s="82"/>
      <c r="F312" s="82"/>
      <c r="G312" s="82"/>
      <c r="H312" s="83"/>
      <c r="I312" s="84"/>
      <c r="J312" s="85"/>
      <c r="K312" s="82"/>
      <c r="L312" s="82"/>
      <c r="M312" s="82"/>
    </row>
    <row r="313" ht="17.25" customHeight="1">
      <c r="A313" s="82"/>
      <c r="B313" s="82"/>
      <c r="C313" s="82"/>
      <c r="D313" s="82"/>
      <c r="E313" s="82"/>
      <c r="F313" s="82"/>
      <c r="G313" s="82"/>
      <c r="H313" s="83"/>
      <c r="I313" s="84"/>
      <c r="J313" s="85"/>
      <c r="K313" s="82"/>
      <c r="L313" s="82"/>
      <c r="M313" s="82"/>
    </row>
    <row r="314" ht="17.25" customHeight="1">
      <c r="A314" s="82"/>
      <c r="B314" s="82"/>
      <c r="C314" s="82"/>
      <c r="D314" s="82"/>
      <c r="E314" s="82"/>
      <c r="F314" s="82"/>
      <c r="G314" s="82"/>
      <c r="H314" s="83"/>
      <c r="I314" s="84"/>
      <c r="J314" s="85"/>
      <c r="K314" s="82"/>
      <c r="L314" s="82"/>
      <c r="M314" s="82"/>
    </row>
    <row r="315" ht="17.25" customHeight="1">
      <c r="A315" s="82"/>
      <c r="B315" s="82"/>
      <c r="C315" s="82"/>
      <c r="D315" s="82"/>
      <c r="E315" s="82"/>
      <c r="F315" s="82"/>
      <c r="G315" s="82"/>
      <c r="H315" s="83"/>
      <c r="I315" s="84"/>
      <c r="J315" s="85"/>
      <c r="K315" s="82"/>
      <c r="L315" s="82"/>
      <c r="M315" s="82"/>
    </row>
    <row r="316" ht="17.25" customHeight="1">
      <c r="A316" s="82"/>
      <c r="B316" s="82"/>
      <c r="C316" s="82"/>
      <c r="D316" s="82"/>
      <c r="E316" s="82"/>
      <c r="F316" s="82"/>
      <c r="G316" s="82"/>
      <c r="H316" s="83"/>
      <c r="I316" s="84"/>
      <c r="J316" s="85"/>
      <c r="K316" s="82"/>
      <c r="L316" s="82"/>
      <c r="M316" s="82"/>
    </row>
    <row r="317" ht="17.25" customHeight="1">
      <c r="A317" s="82"/>
      <c r="B317" s="82"/>
      <c r="C317" s="82"/>
      <c r="D317" s="82"/>
      <c r="E317" s="82"/>
      <c r="F317" s="82"/>
      <c r="G317" s="82"/>
      <c r="H317" s="83"/>
      <c r="I317" s="84"/>
      <c r="J317" s="85"/>
      <c r="K317" s="82"/>
      <c r="L317" s="82"/>
      <c r="M317" s="82"/>
    </row>
    <row r="318" ht="17.25" customHeight="1">
      <c r="A318" s="82"/>
      <c r="B318" s="82"/>
      <c r="C318" s="82"/>
      <c r="D318" s="82"/>
      <c r="E318" s="82"/>
      <c r="F318" s="82"/>
      <c r="G318" s="82"/>
      <c r="H318" s="83"/>
      <c r="I318" s="84"/>
      <c r="J318" s="85"/>
      <c r="K318" s="82"/>
      <c r="L318" s="82"/>
      <c r="M318" s="82"/>
    </row>
    <row r="319" ht="17.25" customHeight="1">
      <c r="A319" s="82"/>
      <c r="B319" s="82"/>
      <c r="C319" s="82"/>
      <c r="D319" s="82"/>
      <c r="E319" s="82"/>
      <c r="F319" s="82"/>
      <c r="G319" s="82"/>
      <c r="H319" s="83"/>
      <c r="I319" s="84"/>
      <c r="J319" s="85"/>
      <c r="K319" s="82"/>
      <c r="L319" s="82"/>
      <c r="M319" s="82"/>
    </row>
    <row r="320" ht="17.25" customHeight="1">
      <c r="A320" s="82"/>
      <c r="B320" s="82"/>
      <c r="C320" s="82"/>
      <c r="D320" s="82"/>
      <c r="E320" s="82"/>
      <c r="F320" s="82"/>
      <c r="G320" s="82"/>
      <c r="H320" s="83"/>
      <c r="I320" s="84"/>
      <c r="J320" s="85"/>
      <c r="K320" s="82"/>
      <c r="L320" s="82"/>
      <c r="M320" s="82"/>
    </row>
  </sheetData>
  <hyperlinks>
    <hyperlink r:id="rId1" ref="L8"/>
    <hyperlink r:id="rId2" ref="M8"/>
    <hyperlink r:id="rId3" ref="L9"/>
    <hyperlink r:id="rId4" ref="M9"/>
    <hyperlink r:id="rId5" ref="L14"/>
    <hyperlink r:id="rId6" ref="M14"/>
    <hyperlink r:id="rId7" ref="L15"/>
    <hyperlink r:id="rId8" ref="M15"/>
    <hyperlink r:id="rId9" ref="L16"/>
    <hyperlink r:id="rId10" ref="M16"/>
    <hyperlink r:id="rId11" ref="L17"/>
    <hyperlink r:id="rId12" ref="M17"/>
    <hyperlink r:id="rId13" ref="L18"/>
    <hyperlink r:id="rId14" ref="M18"/>
    <hyperlink r:id="rId15" ref="L19"/>
    <hyperlink r:id="rId16" ref="M19"/>
    <hyperlink r:id="rId17" ref="L20"/>
    <hyperlink r:id="rId18" ref="M20"/>
    <hyperlink r:id="rId19" ref="L21"/>
    <hyperlink r:id="rId20" ref="M21"/>
    <hyperlink r:id="rId21" ref="L22"/>
    <hyperlink r:id="rId22" ref="M22"/>
    <hyperlink r:id="rId23" ref="L23"/>
    <hyperlink r:id="rId24" ref="M23"/>
    <hyperlink r:id="rId25" ref="L24"/>
    <hyperlink r:id="rId26" ref="M24"/>
    <hyperlink r:id="rId27" ref="L25"/>
    <hyperlink r:id="rId28" ref="M25"/>
    <hyperlink r:id="rId29" ref="L26"/>
    <hyperlink r:id="rId30" ref="M26"/>
    <hyperlink r:id="rId31" ref="L27"/>
    <hyperlink r:id="rId32" ref="M27"/>
    <hyperlink r:id="rId33" ref="L28"/>
    <hyperlink r:id="rId34" ref="M28"/>
    <hyperlink r:id="rId35" ref="L29"/>
    <hyperlink r:id="rId36" ref="M29"/>
    <hyperlink r:id="rId37" ref="L30"/>
    <hyperlink r:id="rId38" ref="M30"/>
    <hyperlink r:id="rId39" ref="L31"/>
    <hyperlink r:id="rId40" ref="M31"/>
    <hyperlink r:id="rId41" ref="L32"/>
    <hyperlink r:id="rId42" ref="M32"/>
    <hyperlink r:id="rId43" ref="L33"/>
    <hyperlink r:id="rId44" ref="M33"/>
    <hyperlink r:id="rId45" ref="L34"/>
    <hyperlink r:id="rId46" ref="M34"/>
    <hyperlink r:id="rId47" ref="L35"/>
    <hyperlink r:id="rId48" ref="M35"/>
    <hyperlink r:id="rId49" ref="L36"/>
    <hyperlink r:id="rId50" ref="M36"/>
    <hyperlink r:id="rId51" ref="L37"/>
    <hyperlink r:id="rId52" ref="M37"/>
    <hyperlink r:id="rId53" ref="L38"/>
    <hyperlink r:id="rId54" ref="M38"/>
    <hyperlink r:id="rId55" ref="L39"/>
    <hyperlink r:id="rId56" ref="M39"/>
    <hyperlink r:id="rId57" ref="L40"/>
    <hyperlink r:id="rId58" ref="M40"/>
    <hyperlink r:id="rId59" ref="L41"/>
    <hyperlink r:id="rId60" ref="M41"/>
    <hyperlink r:id="rId61" ref="L42"/>
    <hyperlink r:id="rId62" ref="M42"/>
    <hyperlink r:id="rId63" ref="L44"/>
    <hyperlink r:id="rId64" ref="M44"/>
    <hyperlink r:id="rId65" ref="L45"/>
    <hyperlink r:id="rId66" ref="M45"/>
    <hyperlink r:id="rId67" ref="L46"/>
    <hyperlink r:id="rId68" ref="M46"/>
    <hyperlink r:id="rId69" ref="L47"/>
    <hyperlink r:id="rId70" ref="M47"/>
    <hyperlink r:id="rId71" ref="L48"/>
    <hyperlink r:id="rId72" ref="M48"/>
    <hyperlink r:id="rId73" ref="L61"/>
    <hyperlink r:id="rId74" ref="M61"/>
    <hyperlink r:id="rId75" ref="L62"/>
    <hyperlink r:id="rId76" ref="M62"/>
    <hyperlink r:id="rId77" ref="L63"/>
    <hyperlink r:id="rId78" ref="M63"/>
    <hyperlink r:id="rId79" ref="L64"/>
    <hyperlink r:id="rId80" ref="M64"/>
    <hyperlink r:id="rId81" ref="L65"/>
    <hyperlink r:id="rId82" ref="M65"/>
    <hyperlink r:id="rId83" ref="L66"/>
    <hyperlink r:id="rId84" ref="M66"/>
    <hyperlink r:id="rId85" ref="L67"/>
    <hyperlink r:id="rId86" ref="M67"/>
    <hyperlink r:id="rId87" ref="L68"/>
    <hyperlink r:id="rId88" ref="M68"/>
    <hyperlink r:id="rId89" ref="L71"/>
    <hyperlink r:id="rId90" ref="M71"/>
    <hyperlink r:id="rId91" ref="L72"/>
    <hyperlink r:id="rId92" ref="M72"/>
    <hyperlink r:id="rId93" ref="L73"/>
    <hyperlink r:id="rId94" ref="M73"/>
    <hyperlink r:id="rId95" ref="L74"/>
    <hyperlink r:id="rId96" ref="M74"/>
    <hyperlink r:id="rId97" ref="L75"/>
    <hyperlink r:id="rId98" ref="M75"/>
    <hyperlink r:id="rId99" ref="L76"/>
    <hyperlink r:id="rId100" ref="M76"/>
    <hyperlink r:id="rId101" ref="L77"/>
    <hyperlink r:id="rId102" ref="M77"/>
    <hyperlink r:id="rId103" ref="L78"/>
    <hyperlink r:id="rId104" ref="M78"/>
    <hyperlink r:id="rId105" ref="L81"/>
    <hyperlink r:id="rId106" ref="M81"/>
    <hyperlink r:id="rId107" ref="L82"/>
    <hyperlink r:id="rId108" ref="M82"/>
    <hyperlink r:id="rId109" ref="L83"/>
    <hyperlink r:id="rId110" ref="M83"/>
    <hyperlink r:id="rId111" ref="L84"/>
    <hyperlink r:id="rId112" ref="M84"/>
    <hyperlink r:id="rId113" ref="L85"/>
    <hyperlink r:id="rId114" ref="M85"/>
    <hyperlink r:id="rId115" ref="L86"/>
    <hyperlink r:id="rId116" ref="M86"/>
    <hyperlink r:id="rId117" ref="L87"/>
    <hyperlink r:id="rId118" ref="M87"/>
    <hyperlink r:id="rId119" ref="L88"/>
    <hyperlink r:id="rId120" ref="M88"/>
    <hyperlink r:id="rId121" ref="L89"/>
    <hyperlink r:id="rId122" ref="M89"/>
    <hyperlink r:id="rId123" ref="L90"/>
    <hyperlink r:id="rId124" ref="M90"/>
    <hyperlink r:id="rId125" ref="L91"/>
    <hyperlink r:id="rId126" ref="M91"/>
    <hyperlink r:id="rId127" ref="L92"/>
    <hyperlink r:id="rId128" ref="M92"/>
    <hyperlink r:id="rId129" ref="L93"/>
    <hyperlink r:id="rId130" ref="M93"/>
    <hyperlink r:id="rId131" ref="L94"/>
    <hyperlink r:id="rId132" ref="M94"/>
    <hyperlink r:id="rId133" ref="L95"/>
    <hyperlink r:id="rId134" ref="M95"/>
    <hyperlink r:id="rId135" ref="L96"/>
    <hyperlink r:id="rId136" ref="M96"/>
    <hyperlink r:id="rId137" ref="L97"/>
    <hyperlink r:id="rId138" ref="M97"/>
    <hyperlink r:id="rId139" ref="L98"/>
    <hyperlink r:id="rId140" ref="M98"/>
    <hyperlink r:id="rId141" ref="L99"/>
    <hyperlink r:id="rId142" ref="M99"/>
    <hyperlink r:id="rId143" ref="L100"/>
    <hyperlink r:id="rId144" ref="M100"/>
    <hyperlink r:id="rId145" ref="L101"/>
    <hyperlink r:id="rId146" ref="M101"/>
    <hyperlink r:id="rId147" ref="L102"/>
    <hyperlink r:id="rId148" ref="M102"/>
    <hyperlink r:id="rId149" ref="L104"/>
    <hyperlink r:id="rId150" ref="M104"/>
    <hyperlink r:id="rId151" ref="L105"/>
    <hyperlink r:id="rId152" ref="M105"/>
    <hyperlink r:id="rId153" ref="L106"/>
    <hyperlink r:id="rId154" ref="M106"/>
    <hyperlink r:id="rId155" ref="L107"/>
    <hyperlink r:id="rId156" ref="M107"/>
    <hyperlink r:id="rId157" ref="L108"/>
    <hyperlink r:id="rId158" ref="M108"/>
    <hyperlink r:id="rId159" ref="L109"/>
    <hyperlink r:id="rId160" ref="M109"/>
    <hyperlink r:id="rId161" ref="L110"/>
    <hyperlink r:id="rId162" ref="M110"/>
    <hyperlink r:id="rId163" ref="L111"/>
    <hyperlink r:id="rId164" ref="M111"/>
    <hyperlink r:id="rId165" ref="L112"/>
    <hyperlink r:id="rId166" ref="M112"/>
    <hyperlink r:id="rId167" ref="L113"/>
    <hyperlink r:id="rId168" ref="M113"/>
    <hyperlink r:id="rId169" ref="L115"/>
    <hyperlink r:id="rId170" ref="M115"/>
    <hyperlink r:id="rId171" ref="L116"/>
    <hyperlink r:id="rId172" ref="M116"/>
    <hyperlink r:id="rId173" ref="L117"/>
    <hyperlink r:id="rId174" ref="M117"/>
    <hyperlink r:id="rId175" ref="L118"/>
    <hyperlink r:id="rId176" ref="M118"/>
    <hyperlink r:id="rId177" ref="L119"/>
    <hyperlink r:id="rId178" ref="M119"/>
    <hyperlink r:id="rId179" ref="L120"/>
    <hyperlink r:id="rId180" ref="M120"/>
  </hyperlinks>
  <drawing r:id="rId1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43"/>
    <col customWidth="1" min="3" max="3" width="20.14"/>
    <col customWidth="1" min="4" max="4" width="6.86"/>
    <col customWidth="1" min="5" max="5" width="6.14"/>
    <col customWidth="1" min="6" max="6" width="15.0"/>
    <col customWidth="1" min="7" max="8" width="6.43"/>
    <col customWidth="1" min="9" max="9" width="59.57"/>
    <col customWidth="1" min="10" max="10" width="35.43"/>
    <col customWidth="1" min="11" max="11" width="9.71"/>
    <col customWidth="1" hidden="1" min="12" max="12" width="42.43"/>
    <col customWidth="1" hidden="1" min="13" max="13" width="67.86"/>
  </cols>
  <sheetData>
    <row r="1">
      <c r="A1" s="73" t="s">
        <v>1008</v>
      </c>
      <c r="B1" s="73" t="s">
        <v>404</v>
      </c>
      <c r="C1" s="73" t="s">
        <v>405</v>
      </c>
      <c r="D1" s="73" t="s">
        <v>406</v>
      </c>
      <c r="E1" s="73" t="s">
        <v>1009</v>
      </c>
      <c r="F1" s="73" t="s">
        <v>407</v>
      </c>
      <c r="G1" s="73" t="s">
        <v>408</v>
      </c>
      <c r="H1" s="86" t="s">
        <v>409</v>
      </c>
      <c r="I1" s="73" t="s">
        <v>1010</v>
      </c>
      <c r="J1" s="86" t="s">
        <v>412</v>
      </c>
      <c r="K1" s="73" t="s">
        <v>413</v>
      </c>
      <c r="L1" s="73" t="s">
        <v>414</v>
      </c>
      <c r="M1" s="73" t="s">
        <v>415</v>
      </c>
    </row>
    <row r="2">
      <c r="A2" s="76">
        <v>1.0</v>
      </c>
      <c r="B2" s="74" t="s">
        <v>1011</v>
      </c>
      <c r="C2" s="78" t="s">
        <v>1012</v>
      </c>
      <c r="D2" s="74" t="s">
        <v>513</v>
      </c>
      <c r="E2" s="74" t="s">
        <v>1013</v>
      </c>
      <c r="F2" s="74" t="s">
        <v>524</v>
      </c>
      <c r="G2" s="74"/>
      <c r="H2" s="74" t="s">
        <v>20</v>
      </c>
      <c r="I2" s="74" t="s">
        <v>1014</v>
      </c>
      <c r="J2" s="78" t="s">
        <v>1015</v>
      </c>
      <c r="K2" s="74">
        <v>9.747955374E9</v>
      </c>
      <c r="L2" s="87" t="s">
        <v>1016</v>
      </c>
      <c r="M2" s="87" t="s">
        <v>1017</v>
      </c>
    </row>
    <row r="3">
      <c r="A3" s="76">
        <v>2.0</v>
      </c>
      <c r="B3" s="74" t="s">
        <v>1018</v>
      </c>
      <c r="C3" s="78" t="s">
        <v>1019</v>
      </c>
      <c r="D3" s="74" t="s">
        <v>513</v>
      </c>
      <c r="E3" s="74" t="s">
        <v>1013</v>
      </c>
      <c r="F3" s="74" t="s">
        <v>419</v>
      </c>
      <c r="G3" s="74"/>
      <c r="H3" s="74" t="s">
        <v>20</v>
      </c>
      <c r="I3" s="74" t="s">
        <v>1020</v>
      </c>
      <c r="J3" s="78" t="s">
        <v>1021</v>
      </c>
      <c r="K3" s="74">
        <v>8.209561571E9</v>
      </c>
      <c r="L3" s="87" t="s">
        <v>1022</v>
      </c>
      <c r="M3" s="87" t="s">
        <v>1023</v>
      </c>
    </row>
    <row r="4">
      <c r="A4" s="76">
        <v>3.0</v>
      </c>
      <c r="B4" s="74" t="s">
        <v>1024</v>
      </c>
      <c r="C4" s="78" t="s">
        <v>1025</v>
      </c>
      <c r="D4" s="74" t="s">
        <v>418</v>
      </c>
      <c r="E4" s="74" t="s">
        <v>1013</v>
      </c>
      <c r="F4" s="74" t="s">
        <v>425</v>
      </c>
      <c r="G4" s="74" t="s">
        <v>431</v>
      </c>
      <c r="H4" s="74" t="s">
        <v>18</v>
      </c>
      <c r="I4" s="74" t="s">
        <v>1026</v>
      </c>
      <c r="J4" s="78" t="s">
        <v>1027</v>
      </c>
      <c r="K4" s="74">
        <v>7.976369203E9</v>
      </c>
      <c r="L4" s="76"/>
      <c r="M4" s="76"/>
    </row>
    <row r="5">
      <c r="A5" s="76">
        <v>4.0</v>
      </c>
      <c r="B5" s="74" t="s">
        <v>1028</v>
      </c>
      <c r="C5" s="78" t="s">
        <v>1029</v>
      </c>
      <c r="D5" s="74" t="s">
        <v>469</v>
      </c>
      <c r="E5" s="74" t="s">
        <v>1013</v>
      </c>
      <c r="F5" s="74" t="s">
        <v>524</v>
      </c>
      <c r="G5" s="74" t="s">
        <v>431</v>
      </c>
      <c r="H5" s="74" t="s">
        <v>20</v>
      </c>
      <c r="I5" s="74" t="s">
        <v>1030</v>
      </c>
      <c r="J5" s="78" t="s">
        <v>1031</v>
      </c>
      <c r="K5" s="74">
        <v>9.760482712E9</v>
      </c>
      <c r="L5" s="87" t="s">
        <v>1032</v>
      </c>
      <c r="M5" s="87" t="s">
        <v>1033</v>
      </c>
    </row>
    <row r="6">
      <c r="A6" s="76">
        <v>5.0</v>
      </c>
      <c r="B6" s="74" t="s">
        <v>1034</v>
      </c>
      <c r="C6" s="78" t="s">
        <v>1035</v>
      </c>
      <c r="D6" s="74" t="s">
        <v>513</v>
      </c>
      <c r="E6" s="74" t="s">
        <v>1013</v>
      </c>
      <c r="F6" s="74" t="s">
        <v>524</v>
      </c>
      <c r="G6" s="74" t="s">
        <v>431</v>
      </c>
      <c r="H6" s="74" t="s">
        <v>20</v>
      </c>
      <c r="I6" s="74" t="s">
        <v>1030</v>
      </c>
      <c r="J6" s="78" t="s">
        <v>1036</v>
      </c>
      <c r="K6" s="74">
        <v>9.509771206E9</v>
      </c>
      <c r="L6" s="87" t="s">
        <v>1037</v>
      </c>
      <c r="M6" s="87" t="s">
        <v>1038</v>
      </c>
    </row>
    <row r="7">
      <c r="A7" s="76">
        <v>6.0</v>
      </c>
      <c r="B7" s="74" t="s">
        <v>1039</v>
      </c>
      <c r="C7" s="78" t="s">
        <v>1040</v>
      </c>
      <c r="D7" s="74" t="s">
        <v>513</v>
      </c>
      <c r="E7" s="74" t="s">
        <v>1013</v>
      </c>
      <c r="F7" s="74" t="s">
        <v>524</v>
      </c>
      <c r="G7" s="74" t="s">
        <v>431</v>
      </c>
      <c r="H7" s="74" t="s">
        <v>20</v>
      </c>
      <c r="I7" s="74" t="s">
        <v>1030</v>
      </c>
      <c r="J7" s="78" t="s">
        <v>1041</v>
      </c>
      <c r="K7" s="74">
        <v>6.375492259E9</v>
      </c>
      <c r="L7" s="87" t="s">
        <v>1042</v>
      </c>
      <c r="M7" s="87" t="s">
        <v>1043</v>
      </c>
    </row>
    <row r="8">
      <c r="A8" s="76">
        <v>7.0</v>
      </c>
      <c r="B8" s="74" t="s">
        <v>1044</v>
      </c>
      <c r="C8" s="78" t="s">
        <v>1045</v>
      </c>
      <c r="D8" s="74" t="s">
        <v>513</v>
      </c>
      <c r="E8" s="74" t="s">
        <v>1013</v>
      </c>
      <c r="F8" s="74" t="s">
        <v>524</v>
      </c>
      <c r="G8" s="74" t="s">
        <v>431</v>
      </c>
      <c r="H8" s="74" t="s">
        <v>20</v>
      </c>
      <c r="I8" s="74" t="s">
        <v>1030</v>
      </c>
      <c r="J8" s="78" t="s">
        <v>1046</v>
      </c>
      <c r="K8" s="74">
        <v>9.602888847E9</v>
      </c>
      <c r="L8" s="87" t="s">
        <v>1047</v>
      </c>
      <c r="M8" s="87" t="s">
        <v>1048</v>
      </c>
    </row>
    <row r="9">
      <c r="A9" s="76">
        <v>8.0</v>
      </c>
      <c r="B9" s="74" t="s">
        <v>1049</v>
      </c>
      <c r="C9" s="78" t="s">
        <v>1050</v>
      </c>
      <c r="D9" s="74" t="s">
        <v>469</v>
      </c>
      <c r="E9" s="74" t="s">
        <v>1013</v>
      </c>
      <c r="F9" s="74" t="s">
        <v>524</v>
      </c>
      <c r="G9" s="74" t="s">
        <v>431</v>
      </c>
      <c r="H9" s="74" t="s">
        <v>20</v>
      </c>
      <c r="I9" s="74" t="s">
        <v>1030</v>
      </c>
      <c r="J9" s="78" t="s">
        <v>1051</v>
      </c>
      <c r="K9" s="74">
        <v>7.014683025E9</v>
      </c>
      <c r="L9" s="87" t="s">
        <v>1052</v>
      </c>
      <c r="M9" s="87" t="s">
        <v>1053</v>
      </c>
    </row>
    <row r="10">
      <c r="A10" s="76">
        <v>9.0</v>
      </c>
      <c r="B10" s="74" t="s">
        <v>1054</v>
      </c>
      <c r="C10" s="78" t="s">
        <v>1055</v>
      </c>
      <c r="D10" s="74" t="s">
        <v>469</v>
      </c>
      <c r="E10" s="74" t="s">
        <v>37</v>
      </c>
      <c r="F10" s="74" t="s">
        <v>1056</v>
      </c>
      <c r="G10" s="74" t="s">
        <v>431</v>
      </c>
      <c r="H10" s="74" t="s">
        <v>20</v>
      </c>
      <c r="I10" s="74" t="s">
        <v>1057</v>
      </c>
      <c r="J10" s="78" t="s">
        <v>1058</v>
      </c>
      <c r="K10" s="74">
        <v>7.850016874E9</v>
      </c>
      <c r="L10" s="76"/>
      <c r="M10" s="76"/>
    </row>
    <row r="11">
      <c r="A11" s="76">
        <v>10.0</v>
      </c>
      <c r="B11" s="74" t="s">
        <v>1059</v>
      </c>
      <c r="C11" s="78" t="s">
        <v>1060</v>
      </c>
      <c r="D11" s="74" t="s">
        <v>513</v>
      </c>
      <c r="E11" s="74" t="s">
        <v>1013</v>
      </c>
      <c r="F11" s="74" t="s">
        <v>425</v>
      </c>
      <c r="G11" s="74" t="s">
        <v>431</v>
      </c>
      <c r="H11" s="74" t="s">
        <v>20</v>
      </c>
      <c r="I11" s="74" t="s">
        <v>1061</v>
      </c>
      <c r="J11" s="78" t="s">
        <v>1062</v>
      </c>
      <c r="K11" s="74">
        <v>9.352106392E9</v>
      </c>
      <c r="L11" s="76"/>
      <c r="M11" s="76"/>
    </row>
    <row r="12">
      <c r="A12" s="76">
        <v>11.0</v>
      </c>
      <c r="B12" s="74" t="s">
        <v>1063</v>
      </c>
      <c r="C12" s="78" t="s">
        <v>1064</v>
      </c>
      <c r="D12" s="74" t="s">
        <v>513</v>
      </c>
      <c r="E12" s="74" t="s">
        <v>1013</v>
      </c>
      <c r="F12" s="74" t="s">
        <v>419</v>
      </c>
      <c r="G12" s="74" t="s">
        <v>564</v>
      </c>
      <c r="H12" s="74" t="s">
        <v>20</v>
      </c>
      <c r="I12" s="74" t="s">
        <v>1065</v>
      </c>
      <c r="J12" s="78" t="s">
        <v>1066</v>
      </c>
      <c r="K12" s="74">
        <v>9.799997472E9</v>
      </c>
      <c r="L12" s="87" t="s">
        <v>1067</v>
      </c>
      <c r="M12" s="87" t="s">
        <v>1068</v>
      </c>
    </row>
    <row r="13">
      <c r="A13" s="76">
        <v>12.0</v>
      </c>
      <c r="B13" s="74" t="s">
        <v>1069</v>
      </c>
      <c r="C13" s="78" t="s">
        <v>1070</v>
      </c>
      <c r="D13" s="74" t="s">
        <v>513</v>
      </c>
      <c r="E13" s="74" t="s">
        <v>1013</v>
      </c>
      <c r="F13" s="74" t="s">
        <v>905</v>
      </c>
      <c r="G13" s="74" t="s">
        <v>431</v>
      </c>
      <c r="H13" s="74" t="s">
        <v>20</v>
      </c>
      <c r="I13" s="74" t="s">
        <v>1071</v>
      </c>
      <c r="J13" s="78" t="s">
        <v>1072</v>
      </c>
      <c r="K13" s="74"/>
      <c r="L13" s="76"/>
      <c r="M13" s="76"/>
    </row>
    <row r="14">
      <c r="A14" s="76">
        <v>13.0</v>
      </c>
      <c r="B14" s="74" t="s">
        <v>1073</v>
      </c>
      <c r="C14" s="78" t="s">
        <v>1074</v>
      </c>
      <c r="D14" s="74" t="s">
        <v>513</v>
      </c>
      <c r="E14" s="74" t="s">
        <v>1013</v>
      </c>
      <c r="F14" s="74" t="s">
        <v>425</v>
      </c>
      <c r="G14" s="74" t="s">
        <v>587</v>
      </c>
      <c r="H14" s="74" t="s">
        <v>20</v>
      </c>
      <c r="I14" s="74" t="s">
        <v>1075</v>
      </c>
      <c r="J14" s="78" t="s">
        <v>1076</v>
      </c>
      <c r="K14" s="74">
        <v>9.785629409E9</v>
      </c>
      <c r="L14" s="76"/>
      <c r="M14" s="76"/>
    </row>
    <row r="15">
      <c r="A15" s="76">
        <v>14.0</v>
      </c>
      <c r="B15" s="74" t="s">
        <v>1077</v>
      </c>
      <c r="C15" s="78" t="s">
        <v>1078</v>
      </c>
      <c r="D15" s="74" t="s">
        <v>469</v>
      </c>
      <c r="E15" s="74" t="s">
        <v>1013</v>
      </c>
      <c r="F15" s="74" t="s">
        <v>419</v>
      </c>
      <c r="G15" s="74" t="s">
        <v>531</v>
      </c>
      <c r="H15" s="74" t="s">
        <v>20</v>
      </c>
      <c r="I15" s="74" t="s">
        <v>1079</v>
      </c>
      <c r="J15" s="78" t="s">
        <v>1080</v>
      </c>
      <c r="K15" s="74">
        <v>7.410809994E9</v>
      </c>
      <c r="L15" s="76"/>
      <c r="M15" s="76"/>
    </row>
    <row r="16">
      <c r="A16" s="76">
        <v>15.0</v>
      </c>
      <c r="B16" s="74" t="s">
        <v>1081</v>
      </c>
      <c r="C16" s="78" t="s">
        <v>1082</v>
      </c>
      <c r="D16" s="74" t="s">
        <v>513</v>
      </c>
      <c r="E16" s="74" t="s">
        <v>50</v>
      </c>
      <c r="F16" s="74" t="s">
        <v>50</v>
      </c>
      <c r="G16" s="74" t="s">
        <v>564</v>
      </c>
      <c r="H16" s="74" t="s">
        <v>20</v>
      </c>
      <c r="I16" s="74" t="s">
        <v>1083</v>
      </c>
      <c r="J16" s="78" t="s">
        <v>1084</v>
      </c>
      <c r="K16" s="74">
        <v>9.352075009E9</v>
      </c>
      <c r="L16" s="76"/>
      <c r="M16" s="76"/>
    </row>
    <row r="17">
      <c r="A17" s="76">
        <v>16.0</v>
      </c>
      <c r="B17" s="74" t="s">
        <v>1085</v>
      </c>
      <c r="C17" s="78" t="s">
        <v>1086</v>
      </c>
      <c r="D17" s="74" t="s">
        <v>513</v>
      </c>
      <c r="E17" s="74" t="s">
        <v>1013</v>
      </c>
      <c r="F17" s="74" t="s">
        <v>524</v>
      </c>
      <c r="G17" s="74" t="s">
        <v>431</v>
      </c>
      <c r="H17" s="74" t="s">
        <v>20</v>
      </c>
      <c r="I17" s="74" t="s">
        <v>1087</v>
      </c>
      <c r="J17" s="78" t="s">
        <v>1088</v>
      </c>
      <c r="K17" s="74"/>
      <c r="L17" s="76"/>
      <c r="M17" s="76"/>
    </row>
    <row r="18">
      <c r="A18" s="76">
        <v>17.0</v>
      </c>
      <c r="B18" s="74" t="s">
        <v>1089</v>
      </c>
      <c r="C18" s="78" t="s">
        <v>1090</v>
      </c>
      <c r="D18" s="74" t="s">
        <v>513</v>
      </c>
      <c r="E18" s="74" t="s">
        <v>37</v>
      </c>
      <c r="F18" s="74" t="s">
        <v>1091</v>
      </c>
      <c r="G18" s="74" t="s">
        <v>587</v>
      </c>
      <c r="H18" s="74" t="s">
        <v>20</v>
      </c>
      <c r="I18" s="74" t="s">
        <v>1092</v>
      </c>
      <c r="J18" s="78" t="s">
        <v>1093</v>
      </c>
      <c r="K18" s="74">
        <v>8.306506879E9</v>
      </c>
      <c r="L18" s="76"/>
      <c r="M18" s="76"/>
    </row>
    <row r="19">
      <c r="A19" s="76">
        <v>18.0</v>
      </c>
      <c r="B19" s="74" t="s">
        <v>1094</v>
      </c>
      <c r="C19" s="78" t="s">
        <v>1095</v>
      </c>
      <c r="D19" s="74" t="s">
        <v>469</v>
      </c>
      <c r="E19" s="74" t="s">
        <v>50</v>
      </c>
      <c r="F19" s="74" t="s">
        <v>1096</v>
      </c>
      <c r="G19" s="74" t="s">
        <v>431</v>
      </c>
      <c r="H19" s="74" t="s">
        <v>20</v>
      </c>
      <c r="I19" s="74" t="s">
        <v>1097</v>
      </c>
      <c r="J19" s="78" t="s">
        <v>1098</v>
      </c>
      <c r="K19" s="74">
        <v>8.218800863E9</v>
      </c>
      <c r="L19" s="76"/>
      <c r="M19" s="76"/>
    </row>
    <row r="20">
      <c r="A20" s="76">
        <v>19.0</v>
      </c>
      <c r="B20" s="74" t="s">
        <v>1099</v>
      </c>
      <c r="C20" s="78" t="s">
        <v>1100</v>
      </c>
      <c r="D20" s="74" t="s">
        <v>418</v>
      </c>
      <c r="E20" s="74" t="s">
        <v>1013</v>
      </c>
      <c r="F20" s="74" t="s">
        <v>464</v>
      </c>
      <c r="G20" s="74" t="s">
        <v>884</v>
      </c>
      <c r="H20" s="74" t="s">
        <v>19</v>
      </c>
      <c r="I20" s="74" t="s">
        <v>1101</v>
      </c>
      <c r="J20" s="78" t="s">
        <v>1102</v>
      </c>
      <c r="K20" s="74">
        <v>6.37714757E9</v>
      </c>
      <c r="L20" s="76"/>
      <c r="M20" s="76"/>
    </row>
    <row r="21" ht="15.75" customHeight="1">
      <c r="A21" s="76">
        <v>20.0</v>
      </c>
      <c r="B21" s="74" t="s">
        <v>1103</v>
      </c>
      <c r="C21" s="78" t="s">
        <v>1104</v>
      </c>
      <c r="D21" s="74" t="s">
        <v>469</v>
      </c>
      <c r="E21" s="74" t="s">
        <v>1013</v>
      </c>
      <c r="F21" s="74" t="s">
        <v>419</v>
      </c>
      <c r="G21" s="74" t="s">
        <v>564</v>
      </c>
      <c r="H21" s="74" t="s">
        <v>20</v>
      </c>
      <c r="I21" s="74" t="s">
        <v>1105</v>
      </c>
      <c r="J21" s="78" t="s">
        <v>1106</v>
      </c>
      <c r="K21" s="74"/>
      <c r="L21" s="87" t="s">
        <v>1107</v>
      </c>
      <c r="M21" s="87" t="s">
        <v>1108</v>
      </c>
    </row>
    <row r="22" ht="15.75" customHeight="1">
      <c r="A22" s="76">
        <v>21.0</v>
      </c>
      <c r="B22" s="74" t="s">
        <v>1109</v>
      </c>
      <c r="C22" s="78" t="s">
        <v>1110</v>
      </c>
      <c r="D22" s="74" t="s">
        <v>513</v>
      </c>
      <c r="E22" s="74" t="s">
        <v>1013</v>
      </c>
      <c r="F22" s="74" t="s">
        <v>419</v>
      </c>
      <c r="G22" s="74" t="s">
        <v>564</v>
      </c>
      <c r="H22" s="74" t="s">
        <v>20</v>
      </c>
      <c r="I22" s="88" t="s">
        <v>1111</v>
      </c>
      <c r="J22" s="78" t="s">
        <v>1112</v>
      </c>
      <c r="K22" s="74"/>
      <c r="L22" s="76"/>
      <c r="M22" s="76"/>
    </row>
    <row r="23" ht="15.75" customHeight="1">
      <c r="A23" s="76">
        <v>22.0</v>
      </c>
      <c r="B23" s="74" t="s">
        <v>1113</v>
      </c>
      <c r="C23" s="78" t="s">
        <v>1114</v>
      </c>
      <c r="D23" s="74" t="s">
        <v>513</v>
      </c>
      <c r="E23" s="74" t="s">
        <v>37</v>
      </c>
      <c r="F23" s="74" t="s">
        <v>1115</v>
      </c>
      <c r="G23" s="74" t="s">
        <v>431</v>
      </c>
      <c r="H23" s="74" t="s">
        <v>20</v>
      </c>
      <c r="I23" s="74" t="s">
        <v>1116</v>
      </c>
      <c r="J23" s="78" t="s">
        <v>1117</v>
      </c>
      <c r="K23" s="74">
        <v>9.829221341E9</v>
      </c>
      <c r="L23" s="76"/>
      <c r="M23" s="76"/>
    </row>
    <row r="24" ht="15.75" customHeight="1">
      <c r="A24" s="76">
        <v>23.0</v>
      </c>
      <c r="B24" s="74" t="s">
        <v>1118</v>
      </c>
      <c r="C24" s="78" t="s">
        <v>1119</v>
      </c>
      <c r="D24" s="74" t="s">
        <v>469</v>
      </c>
      <c r="E24" s="74" t="s">
        <v>1013</v>
      </c>
      <c r="F24" s="74" t="s">
        <v>425</v>
      </c>
      <c r="G24" s="74" t="s">
        <v>587</v>
      </c>
      <c r="H24" s="74" t="s">
        <v>20</v>
      </c>
      <c r="I24" s="74" t="s">
        <v>1120</v>
      </c>
      <c r="J24" s="78" t="s">
        <v>1121</v>
      </c>
      <c r="K24" s="74">
        <v>9.92995239E9</v>
      </c>
      <c r="L24" s="76"/>
      <c r="M24" s="76"/>
    </row>
    <row r="25" ht="15.75" customHeight="1">
      <c r="A25" s="76">
        <v>24.0</v>
      </c>
      <c r="B25" s="74" t="s">
        <v>1122</v>
      </c>
      <c r="C25" s="78" t="s">
        <v>1123</v>
      </c>
      <c r="D25" s="74" t="s">
        <v>513</v>
      </c>
      <c r="E25" s="74" t="s">
        <v>1013</v>
      </c>
      <c r="F25" s="74" t="s">
        <v>425</v>
      </c>
      <c r="G25" s="74" t="s">
        <v>587</v>
      </c>
      <c r="H25" s="74" t="s">
        <v>20</v>
      </c>
      <c r="I25" s="88" t="s">
        <v>1124</v>
      </c>
      <c r="J25" s="78" t="s">
        <v>1125</v>
      </c>
      <c r="K25" s="74">
        <v>7.836984235E9</v>
      </c>
      <c r="L25" s="76"/>
      <c r="M25" s="76"/>
    </row>
    <row r="26" ht="15.75" customHeight="1">
      <c r="A26" s="76">
        <v>25.0</v>
      </c>
      <c r="B26" s="74" t="s">
        <v>1126</v>
      </c>
      <c r="C26" s="78" t="s">
        <v>1127</v>
      </c>
      <c r="D26" s="74" t="s">
        <v>513</v>
      </c>
      <c r="E26" s="74" t="s">
        <v>1013</v>
      </c>
      <c r="F26" s="74" t="s">
        <v>419</v>
      </c>
      <c r="G26" s="74" t="s">
        <v>531</v>
      </c>
      <c r="H26" s="74" t="s">
        <v>20</v>
      </c>
      <c r="I26" s="74" t="s">
        <v>1128</v>
      </c>
      <c r="J26" s="78" t="s">
        <v>1129</v>
      </c>
      <c r="K26" s="74">
        <v>7.689985615E9</v>
      </c>
      <c r="L26" s="87" t="s">
        <v>1130</v>
      </c>
      <c r="M26" s="87" t="s">
        <v>1131</v>
      </c>
    </row>
    <row r="27" ht="15.75" customHeight="1">
      <c r="A27" s="76">
        <v>26.0</v>
      </c>
      <c r="B27" s="74" t="s">
        <v>1132</v>
      </c>
      <c r="C27" s="78" t="s">
        <v>1133</v>
      </c>
      <c r="D27" s="74" t="s">
        <v>513</v>
      </c>
      <c r="E27" s="74" t="s">
        <v>1013</v>
      </c>
      <c r="F27" s="74" t="s">
        <v>524</v>
      </c>
      <c r="G27" s="74" t="s">
        <v>431</v>
      </c>
      <c r="H27" s="74" t="s">
        <v>20</v>
      </c>
      <c r="I27" s="74" t="s">
        <v>1134</v>
      </c>
      <c r="J27" s="78" t="s">
        <v>1135</v>
      </c>
      <c r="K27" s="74"/>
      <c r="L27" s="76"/>
      <c r="M27" s="76"/>
    </row>
    <row r="28" ht="15.75" customHeight="1">
      <c r="A28" s="76">
        <v>27.0</v>
      </c>
      <c r="B28" s="74" t="s">
        <v>1136</v>
      </c>
      <c r="C28" s="78" t="s">
        <v>1137</v>
      </c>
      <c r="D28" s="74" t="s">
        <v>513</v>
      </c>
      <c r="E28" s="74" t="s">
        <v>1013</v>
      </c>
      <c r="F28" s="74" t="s">
        <v>425</v>
      </c>
      <c r="G28" s="74" t="s">
        <v>531</v>
      </c>
      <c r="H28" s="74" t="s">
        <v>20</v>
      </c>
      <c r="I28" s="74" t="s">
        <v>1138</v>
      </c>
      <c r="J28" s="78" t="s">
        <v>1139</v>
      </c>
      <c r="K28" s="74">
        <v>7.877191696E9</v>
      </c>
      <c r="L28" s="76"/>
      <c r="M28" s="76"/>
    </row>
    <row r="29" ht="15.75" customHeight="1">
      <c r="A29" s="76">
        <v>28.0</v>
      </c>
      <c r="B29" s="74" t="s">
        <v>1140</v>
      </c>
      <c r="C29" s="78" t="s">
        <v>1141</v>
      </c>
      <c r="D29" s="74" t="s">
        <v>469</v>
      </c>
      <c r="E29" s="74" t="s">
        <v>37</v>
      </c>
      <c r="F29" s="74" t="s">
        <v>1142</v>
      </c>
      <c r="G29" s="74" t="s">
        <v>431</v>
      </c>
      <c r="H29" s="74" t="s">
        <v>20</v>
      </c>
      <c r="I29" s="74" t="s">
        <v>1143</v>
      </c>
      <c r="J29" s="78" t="s">
        <v>1144</v>
      </c>
      <c r="K29" s="74">
        <v>9.358344014E9</v>
      </c>
      <c r="L29" s="76"/>
      <c r="M29" s="76"/>
    </row>
    <row r="30" ht="15.75" customHeight="1">
      <c r="A30" s="76">
        <v>29.0</v>
      </c>
      <c r="B30" s="74" t="s">
        <v>1145</v>
      </c>
      <c r="C30" s="78" t="s">
        <v>1146</v>
      </c>
      <c r="D30" s="74" t="s">
        <v>469</v>
      </c>
      <c r="E30" s="74" t="s">
        <v>1013</v>
      </c>
      <c r="F30" s="74" t="s">
        <v>524</v>
      </c>
      <c r="G30" s="74" t="s">
        <v>431</v>
      </c>
      <c r="H30" s="74" t="s">
        <v>20</v>
      </c>
      <c r="I30" s="74" t="s">
        <v>1134</v>
      </c>
      <c r="J30" s="78" t="s">
        <v>1147</v>
      </c>
      <c r="K30" s="74">
        <v>8.829984566E9</v>
      </c>
      <c r="L30" s="76"/>
      <c r="M30" s="76"/>
    </row>
    <row r="31" ht="15.75" customHeight="1">
      <c r="A31" s="76">
        <v>30.0</v>
      </c>
      <c r="B31" s="74" t="s">
        <v>1148</v>
      </c>
      <c r="C31" s="78" t="s">
        <v>1149</v>
      </c>
      <c r="D31" s="74" t="s">
        <v>513</v>
      </c>
      <c r="E31" s="74" t="s">
        <v>1013</v>
      </c>
      <c r="F31" s="74" t="s">
        <v>419</v>
      </c>
      <c r="G31" s="74" t="s">
        <v>431</v>
      </c>
      <c r="H31" s="74" t="s">
        <v>20</v>
      </c>
      <c r="I31" s="74" t="s">
        <v>1150</v>
      </c>
      <c r="J31" s="78" t="s">
        <v>1151</v>
      </c>
      <c r="K31" s="74">
        <v>7.898335737E9</v>
      </c>
      <c r="L31" s="76"/>
      <c r="M31" s="76"/>
    </row>
    <row r="32" ht="15.75" customHeight="1">
      <c r="A32" s="76">
        <v>31.0</v>
      </c>
      <c r="B32" s="74" t="s">
        <v>1152</v>
      </c>
      <c r="C32" s="78" t="s">
        <v>1153</v>
      </c>
      <c r="D32" s="74" t="s">
        <v>513</v>
      </c>
      <c r="E32" s="74" t="s">
        <v>37</v>
      </c>
      <c r="F32" s="74" t="s">
        <v>1154</v>
      </c>
      <c r="G32" s="74" t="s">
        <v>502</v>
      </c>
      <c r="H32" s="74" t="s">
        <v>20</v>
      </c>
      <c r="I32" s="74" t="s">
        <v>1155</v>
      </c>
      <c r="J32" s="78" t="s">
        <v>1156</v>
      </c>
      <c r="K32" s="74">
        <v>7.737135858E9</v>
      </c>
      <c r="L32" s="76"/>
      <c r="M32" s="76"/>
    </row>
    <row r="33" ht="15.75" customHeight="1">
      <c r="A33" s="76">
        <v>32.0</v>
      </c>
      <c r="B33" s="74" t="s">
        <v>1157</v>
      </c>
      <c r="C33" s="78" t="s">
        <v>1158</v>
      </c>
      <c r="D33" s="74" t="s">
        <v>418</v>
      </c>
      <c r="E33" s="74" t="s">
        <v>1013</v>
      </c>
      <c r="F33" s="74" t="s">
        <v>425</v>
      </c>
      <c r="G33" s="74" t="s">
        <v>564</v>
      </c>
      <c r="H33" s="74" t="s">
        <v>19</v>
      </c>
      <c r="I33" s="74" t="s">
        <v>1159</v>
      </c>
      <c r="J33" s="78" t="s">
        <v>1160</v>
      </c>
      <c r="K33" s="74">
        <v>8.005645447E9</v>
      </c>
      <c r="L33" s="76"/>
      <c r="M33" s="76"/>
    </row>
    <row r="34" ht="15.75" customHeight="1">
      <c r="A34" s="76">
        <v>33.0</v>
      </c>
      <c r="B34" s="74" t="s">
        <v>1161</v>
      </c>
      <c r="C34" s="78" t="s">
        <v>1162</v>
      </c>
      <c r="D34" s="74" t="s">
        <v>513</v>
      </c>
      <c r="E34" s="74" t="s">
        <v>37</v>
      </c>
      <c r="F34" s="74" t="s">
        <v>1154</v>
      </c>
      <c r="G34" s="74" t="s">
        <v>564</v>
      </c>
      <c r="H34" s="74" t="s">
        <v>20</v>
      </c>
      <c r="I34" s="74" t="s">
        <v>1163</v>
      </c>
      <c r="J34" s="78" t="s">
        <v>1164</v>
      </c>
      <c r="K34" s="74">
        <v>6.3780077E9</v>
      </c>
      <c r="L34" s="76"/>
      <c r="M34" s="76"/>
    </row>
    <row r="35" ht="15.75" customHeight="1">
      <c r="A35" s="76">
        <v>34.0</v>
      </c>
      <c r="B35" s="74" t="s">
        <v>1165</v>
      </c>
      <c r="C35" s="78" t="s">
        <v>1166</v>
      </c>
      <c r="D35" s="74" t="s">
        <v>469</v>
      </c>
      <c r="E35" s="74" t="s">
        <v>1013</v>
      </c>
      <c r="F35" s="74" t="s">
        <v>425</v>
      </c>
      <c r="G35" s="74" t="s">
        <v>564</v>
      </c>
      <c r="H35" s="74" t="s">
        <v>20</v>
      </c>
      <c r="I35" s="74" t="s">
        <v>1167</v>
      </c>
      <c r="J35" s="78" t="s">
        <v>1168</v>
      </c>
      <c r="K35" s="74">
        <v>7.426932093E9</v>
      </c>
      <c r="L35" s="76"/>
      <c r="M35" s="76"/>
    </row>
    <row r="36" ht="15.75" customHeight="1">
      <c r="A36" s="76">
        <v>35.0</v>
      </c>
      <c r="B36" s="74" t="s">
        <v>1169</v>
      </c>
      <c r="C36" s="78" t="s">
        <v>1170</v>
      </c>
      <c r="D36" s="74" t="s">
        <v>513</v>
      </c>
      <c r="E36" s="74" t="s">
        <v>1013</v>
      </c>
      <c r="F36" s="74" t="s">
        <v>425</v>
      </c>
      <c r="G36" s="74" t="s">
        <v>564</v>
      </c>
      <c r="H36" s="74" t="s">
        <v>20</v>
      </c>
      <c r="I36" s="74" t="s">
        <v>1171</v>
      </c>
      <c r="J36" s="78" t="s">
        <v>1172</v>
      </c>
      <c r="K36" s="74">
        <v>8.005927113E9</v>
      </c>
      <c r="L36" s="87" t="s">
        <v>1173</v>
      </c>
      <c r="M36" s="87" t="s">
        <v>1174</v>
      </c>
    </row>
    <row r="37" ht="15.75" customHeight="1">
      <c r="A37" s="76">
        <v>36.0</v>
      </c>
      <c r="B37" s="74" t="s">
        <v>1175</v>
      </c>
      <c r="C37" s="78" t="s">
        <v>1176</v>
      </c>
      <c r="D37" s="74" t="s">
        <v>469</v>
      </c>
      <c r="E37" s="74" t="s">
        <v>1013</v>
      </c>
      <c r="F37" s="74" t="s">
        <v>425</v>
      </c>
      <c r="G37" s="74" t="s">
        <v>531</v>
      </c>
      <c r="H37" s="74" t="s">
        <v>20</v>
      </c>
      <c r="I37" s="74" t="s">
        <v>1171</v>
      </c>
      <c r="J37" s="78" t="s">
        <v>1177</v>
      </c>
      <c r="K37" s="74">
        <v>7.023577536E9</v>
      </c>
      <c r="L37" s="87" t="s">
        <v>1178</v>
      </c>
      <c r="M37" s="87" t="s">
        <v>1179</v>
      </c>
    </row>
    <row r="38" ht="15.75" customHeight="1">
      <c r="A38" s="76">
        <v>37.0</v>
      </c>
      <c r="B38" s="74" t="s">
        <v>1180</v>
      </c>
      <c r="C38" s="78" t="s">
        <v>1181</v>
      </c>
      <c r="D38" s="74" t="s">
        <v>513</v>
      </c>
      <c r="E38" s="74" t="s">
        <v>1013</v>
      </c>
      <c r="F38" s="74" t="s">
        <v>419</v>
      </c>
      <c r="G38" s="74" t="s">
        <v>431</v>
      </c>
      <c r="H38" s="74" t="s">
        <v>20</v>
      </c>
      <c r="I38" s="74" t="s">
        <v>1182</v>
      </c>
      <c r="J38" s="78" t="s">
        <v>1183</v>
      </c>
      <c r="K38" s="74">
        <v>7.906814891E9</v>
      </c>
      <c r="L38" s="76"/>
      <c r="M38" s="76"/>
    </row>
    <row r="39" ht="15.75" customHeight="1">
      <c r="A39" s="76">
        <v>38.0</v>
      </c>
      <c r="B39" s="74" t="s">
        <v>1184</v>
      </c>
      <c r="C39" s="78" t="s">
        <v>1185</v>
      </c>
      <c r="D39" s="74" t="s">
        <v>513</v>
      </c>
      <c r="E39" s="74" t="s">
        <v>1013</v>
      </c>
      <c r="F39" s="74" t="s">
        <v>419</v>
      </c>
      <c r="G39" s="74" t="s">
        <v>531</v>
      </c>
      <c r="H39" s="74" t="s">
        <v>20</v>
      </c>
      <c r="I39" s="74" t="s">
        <v>1186</v>
      </c>
      <c r="J39" s="78" t="s">
        <v>1187</v>
      </c>
      <c r="K39" s="74">
        <v>8.209462373E9</v>
      </c>
      <c r="L39" s="76"/>
      <c r="M39" s="76"/>
    </row>
    <row r="40" ht="15.75" customHeight="1">
      <c r="A40" s="76">
        <v>39.0</v>
      </c>
      <c r="B40" s="74" t="s">
        <v>1188</v>
      </c>
      <c r="C40" s="78" t="s">
        <v>1189</v>
      </c>
      <c r="D40" s="74" t="s">
        <v>513</v>
      </c>
      <c r="E40" s="74" t="s">
        <v>50</v>
      </c>
      <c r="F40" s="74" t="s">
        <v>50</v>
      </c>
      <c r="G40" s="74" t="s">
        <v>564</v>
      </c>
      <c r="H40" s="74" t="s">
        <v>20</v>
      </c>
      <c r="I40" s="74" t="s">
        <v>1190</v>
      </c>
      <c r="J40" s="78" t="s">
        <v>1191</v>
      </c>
      <c r="K40" s="74">
        <v>9.792793008E9</v>
      </c>
      <c r="L40" s="76"/>
      <c r="M40" s="76"/>
    </row>
    <row r="41" ht="15.75" customHeight="1">
      <c r="A41" s="76">
        <v>40.0</v>
      </c>
      <c r="B41" s="74" t="s">
        <v>1192</v>
      </c>
      <c r="C41" s="78" t="s">
        <v>1193</v>
      </c>
      <c r="D41" s="74" t="s">
        <v>513</v>
      </c>
      <c r="E41" s="74" t="s">
        <v>37</v>
      </c>
      <c r="F41" s="74" t="s">
        <v>1091</v>
      </c>
      <c r="G41" s="74" t="s">
        <v>531</v>
      </c>
      <c r="H41" s="74" t="s">
        <v>20</v>
      </c>
      <c r="I41" s="74" t="s">
        <v>1194</v>
      </c>
      <c r="J41" s="78" t="s">
        <v>1195</v>
      </c>
      <c r="K41" s="74">
        <v>7.849838614E9</v>
      </c>
      <c r="L41" s="76"/>
      <c r="M41" s="76"/>
    </row>
    <row r="42" ht="15.75" customHeight="1">
      <c r="A42" s="76">
        <v>41.0</v>
      </c>
      <c r="B42" s="74" t="s">
        <v>1196</v>
      </c>
      <c r="C42" s="78" t="s">
        <v>1197</v>
      </c>
      <c r="D42" s="74" t="s">
        <v>513</v>
      </c>
      <c r="E42" s="74" t="s">
        <v>1013</v>
      </c>
      <c r="F42" s="74" t="s">
        <v>425</v>
      </c>
      <c r="G42" s="74" t="s">
        <v>587</v>
      </c>
      <c r="H42" s="74" t="s">
        <v>20</v>
      </c>
      <c r="I42" s="74" t="s">
        <v>1198</v>
      </c>
      <c r="J42" s="78" t="s">
        <v>1199</v>
      </c>
      <c r="K42" s="74">
        <v>9.784117842E9</v>
      </c>
      <c r="L42" s="76"/>
      <c r="M42" s="76"/>
    </row>
    <row r="43" ht="15.75" customHeight="1">
      <c r="A43" s="76">
        <v>42.0</v>
      </c>
      <c r="B43" s="74" t="s">
        <v>1200</v>
      </c>
      <c r="C43" s="78" t="s">
        <v>1201</v>
      </c>
      <c r="D43" s="74" t="s">
        <v>513</v>
      </c>
      <c r="E43" s="74" t="s">
        <v>1013</v>
      </c>
      <c r="F43" s="74" t="s">
        <v>425</v>
      </c>
      <c r="G43" s="74" t="s">
        <v>587</v>
      </c>
      <c r="H43" s="74" t="s">
        <v>20</v>
      </c>
      <c r="I43" s="74" t="s">
        <v>1202</v>
      </c>
      <c r="J43" s="78" t="s">
        <v>1203</v>
      </c>
      <c r="K43" s="74">
        <v>9.694928548E9</v>
      </c>
      <c r="L43" s="76"/>
      <c r="M43" s="76"/>
    </row>
    <row r="44" ht="15.75" customHeight="1">
      <c r="A44" s="76">
        <v>43.0</v>
      </c>
      <c r="B44" s="74" t="s">
        <v>1204</v>
      </c>
      <c r="C44" s="78" t="s">
        <v>1205</v>
      </c>
      <c r="D44" s="74" t="s">
        <v>513</v>
      </c>
      <c r="E44" s="74" t="s">
        <v>37</v>
      </c>
      <c r="F44" s="74" t="s">
        <v>1154</v>
      </c>
      <c r="G44" s="74" t="s">
        <v>587</v>
      </c>
      <c r="H44" s="74" t="s">
        <v>20</v>
      </c>
      <c r="I44" s="74" t="s">
        <v>1206</v>
      </c>
      <c r="J44" s="78" t="s">
        <v>1207</v>
      </c>
      <c r="K44" s="74">
        <v>7.850818577E9</v>
      </c>
      <c r="L44" s="76"/>
      <c r="M44" s="76"/>
    </row>
    <row r="45" ht="15.75" customHeight="1">
      <c r="A45" s="76">
        <v>44.0</v>
      </c>
      <c r="B45" s="74" t="s">
        <v>1208</v>
      </c>
      <c r="C45" s="78" t="s">
        <v>1209</v>
      </c>
      <c r="D45" s="74" t="s">
        <v>469</v>
      </c>
      <c r="E45" s="74" t="s">
        <v>37</v>
      </c>
      <c r="F45" s="74" t="s">
        <v>1091</v>
      </c>
      <c r="G45" s="74" t="s">
        <v>587</v>
      </c>
      <c r="H45" s="74" t="s">
        <v>20</v>
      </c>
      <c r="I45" s="74" t="s">
        <v>1210</v>
      </c>
      <c r="J45" s="78" t="s">
        <v>1211</v>
      </c>
      <c r="K45" s="74">
        <v>7.877687098E9</v>
      </c>
      <c r="L45" s="76"/>
      <c r="M45" s="76"/>
    </row>
    <row r="46" ht="15.75" customHeight="1">
      <c r="A46" s="76">
        <v>45.0</v>
      </c>
      <c r="B46" s="74" t="s">
        <v>1212</v>
      </c>
      <c r="C46" s="78" t="s">
        <v>1213</v>
      </c>
      <c r="D46" s="74" t="s">
        <v>469</v>
      </c>
      <c r="E46" s="74" t="s">
        <v>1013</v>
      </c>
      <c r="F46" s="74" t="s">
        <v>419</v>
      </c>
      <c r="G46" s="74" t="s">
        <v>531</v>
      </c>
      <c r="H46" s="74" t="s">
        <v>20</v>
      </c>
      <c r="I46" s="74" t="s">
        <v>1214</v>
      </c>
      <c r="J46" s="78" t="s">
        <v>1215</v>
      </c>
      <c r="K46" s="74">
        <v>8.085968704E9</v>
      </c>
      <c r="L46" s="76"/>
      <c r="M46" s="76"/>
    </row>
    <row r="47" ht="15.75" customHeight="1">
      <c r="A47" s="76">
        <v>46.0</v>
      </c>
      <c r="B47" s="74" t="s">
        <v>1216</v>
      </c>
      <c r="C47" s="78" t="s">
        <v>1217</v>
      </c>
      <c r="D47" s="74" t="s">
        <v>513</v>
      </c>
      <c r="E47" s="74" t="s">
        <v>1013</v>
      </c>
      <c r="F47" s="74" t="s">
        <v>419</v>
      </c>
      <c r="G47" s="74" t="s">
        <v>531</v>
      </c>
      <c r="H47" s="74" t="s">
        <v>20</v>
      </c>
      <c r="I47" s="74" t="s">
        <v>1214</v>
      </c>
      <c r="J47" s="78" t="s">
        <v>1218</v>
      </c>
      <c r="K47" s="74">
        <v>9.098717175E9</v>
      </c>
      <c r="L47" s="76"/>
      <c r="M47" s="76"/>
    </row>
    <row r="48" ht="15.75" customHeight="1">
      <c r="A48" s="76">
        <v>47.0</v>
      </c>
      <c r="B48" s="74" t="s">
        <v>1219</v>
      </c>
      <c r="C48" s="78" t="s">
        <v>1220</v>
      </c>
      <c r="D48" s="74" t="s">
        <v>513</v>
      </c>
      <c r="E48" s="74" t="s">
        <v>1013</v>
      </c>
      <c r="F48" s="74" t="s">
        <v>419</v>
      </c>
      <c r="G48" s="74" t="s">
        <v>431</v>
      </c>
      <c r="H48" s="74" t="s">
        <v>20</v>
      </c>
      <c r="I48" s="74" t="s">
        <v>1221</v>
      </c>
      <c r="J48" s="78" t="s">
        <v>1222</v>
      </c>
      <c r="K48" s="74">
        <v>6.35027934E9</v>
      </c>
      <c r="L48" s="76"/>
      <c r="M48" s="76"/>
    </row>
    <row r="49" ht="15.75" customHeight="1">
      <c r="A49" s="76">
        <v>48.0</v>
      </c>
      <c r="B49" s="74" t="s">
        <v>1223</v>
      </c>
      <c r="C49" s="78" t="s">
        <v>1224</v>
      </c>
      <c r="D49" s="74" t="s">
        <v>513</v>
      </c>
      <c r="E49" s="74" t="s">
        <v>1013</v>
      </c>
      <c r="F49" s="74" t="s">
        <v>425</v>
      </c>
      <c r="G49" s="74" t="s">
        <v>564</v>
      </c>
      <c r="H49" s="74" t="s">
        <v>20</v>
      </c>
      <c r="I49" s="74" t="s">
        <v>1225</v>
      </c>
      <c r="J49" s="78" t="s">
        <v>1226</v>
      </c>
      <c r="K49" s="74">
        <v>9.772451391E9</v>
      </c>
      <c r="L49" s="76"/>
      <c r="M49" s="76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3"/>
      <c r="J50" s="83"/>
      <c r="K50" s="89"/>
      <c r="L50" s="89"/>
      <c r="M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3"/>
      <c r="J51" s="83"/>
      <c r="K51" s="89"/>
      <c r="L51" s="89"/>
      <c r="M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3"/>
      <c r="J52" s="83"/>
      <c r="K52" s="89"/>
      <c r="L52" s="89"/>
      <c r="M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3"/>
      <c r="J53" s="83"/>
      <c r="K53" s="89"/>
      <c r="L53" s="89"/>
      <c r="M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3"/>
      <c r="J54" s="83"/>
      <c r="K54" s="89"/>
      <c r="L54" s="89"/>
      <c r="M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3"/>
      <c r="J55" s="83"/>
      <c r="K55" s="89"/>
      <c r="L55" s="89"/>
      <c r="M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3"/>
      <c r="J56" s="83"/>
      <c r="K56" s="89"/>
      <c r="L56" s="89"/>
      <c r="M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3"/>
      <c r="J57" s="83"/>
      <c r="K57" s="89"/>
      <c r="L57" s="89"/>
      <c r="M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3"/>
      <c r="J58" s="83"/>
      <c r="K58" s="89"/>
      <c r="L58" s="89"/>
      <c r="M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3"/>
      <c r="J59" s="83"/>
      <c r="K59" s="89"/>
      <c r="L59" s="89"/>
      <c r="M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3"/>
      <c r="J60" s="83"/>
      <c r="K60" s="89"/>
      <c r="L60" s="89"/>
      <c r="M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3"/>
      <c r="J61" s="83"/>
      <c r="K61" s="89"/>
      <c r="L61" s="89"/>
      <c r="M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3"/>
      <c r="J62" s="83"/>
      <c r="K62" s="89"/>
      <c r="L62" s="89"/>
      <c r="M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3"/>
      <c r="J63" s="83"/>
      <c r="K63" s="89"/>
      <c r="L63" s="89"/>
      <c r="M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3"/>
      <c r="J64" s="83"/>
      <c r="K64" s="89"/>
      <c r="L64" s="89"/>
      <c r="M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3"/>
      <c r="J65" s="83"/>
      <c r="K65" s="89"/>
      <c r="L65" s="89"/>
      <c r="M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3"/>
      <c r="J66" s="83"/>
      <c r="K66" s="89"/>
      <c r="L66" s="89"/>
      <c r="M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3"/>
      <c r="J67" s="83"/>
      <c r="K67" s="89"/>
      <c r="L67" s="89"/>
      <c r="M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3"/>
      <c r="J68" s="83"/>
      <c r="K68" s="89"/>
      <c r="L68" s="89"/>
      <c r="M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3"/>
      <c r="J69" s="83"/>
      <c r="K69" s="89"/>
      <c r="L69" s="89"/>
      <c r="M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3"/>
      <c r="J70" s="83"/>
      <c r="K70" s="89"/>
      <c r="L70" s="89"/>
      <c r="M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3"/>
      <c r="J71" s="83"/>
      <c r="K71" s="89"/>
      <c r="L71" s="89"/>
      <c r="M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3"/>
      <c r="J72" s="83"/>
      <c r="K72" s="89"/>
      <c r="L72" s="89"/>
      <c r="M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3"/>
      <c r="J73" s="83"/>
      <c r="K73" s="89"/>
      <c r="L73" s="89"/>
      <c r="M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3"/>
      <c r="J74" s="83"/>
      <c r="K74" s="89"/>
      <c r="L74" s="89"/>
      <c r="M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3"/>
      <c r="J75" s="83"/>
      <c r="K75" s="89"/>
      <c r="L75" s="89"/>
      <c r="M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3"/>
      <c r="J76" s="83"/>
      <c r="K76" s="89"/>
      <c r="L76" s="89"/>
      <c r="M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3"/>
      <c r="J77" s="83"/>
      <c r="K77" s="89"/>
      <c r="L77" s="89"/>
      <c r="M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3"/>
      <c r="J78" s="83"/>
      <c r="K78" s="89"/>
      <c r="L78" s="89"/>
      <c r="M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3"/>
      <c r="J79" s="83"/>
      <c r="K79" s="89"/>
      <c r="L79" s="89"/>
      <c r="M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3"/>
      <c r="J80" s="83"/>
      <c r="K80" s="89"/>
      <c r="L80" s="89"/>
      <c r="M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3"/>
      <c r="J81" s="83"/>
      <c r="K81" s="89"/>
      <c r="L81" s="89"/>
      <c r="M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3"/>
      <c r="J82" s="83"/>
      <c r="K82" s="89"/>
      <c r="L82" s="89"/>
      <c r="M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3"/>
      <c r="J83" s="83"/>
      <c r="K83" s="89"/>
      <c r="L83" s="89"/>
      <c r="M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3"/>
      <c r="J84" s="83"/>
      <c r="K84" s="89"/>
      <c r="L84" s="89"/>
      <c r="M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3"/>
      <c r="J85" s="83"/>
      <c r="K85" s="89"/>
      <c r="L85" s="89"/>
      <c r="M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3"/>
      <c r="J86" s="83"/>
      <c r="K86" s="89"/>
      <c r="L86" s="89"/>
      <c r="M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3"/>
      <c r="J87" s="83"/>
      <c r="K87" s="89"/>
      <c r="L87" s="89"/>
      <c r="M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3"/>
      <c r="J88" s="83"/>
      <c r="K88" s="89"/>
      <c r="L88" s="89"/>
      <c r="M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3"/>
      <c r="J89" s="83"/>
      <c r="K89" s="89"/>
      <c r="L89" s="89"/>
      <c r="M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3"/>
      <c r="J90" s="83"/>
      <c r="K90" s="89"/>
      <c r="L90" s="89"/>
      <c r="M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3"/>
      <c r="J91" s="83"/>
      <c r="K91" s="89"/>
      <c r="L91" s="89"/>
      <c r="M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3"/>
      <c r="J92" s="83"/>
      <c r="K92" s="89"/>
      <c r="L92" s="89"/>
      <c r="M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3"/>
      <c r="J93" s="83"/>
      <c r="K93" s="89"/>
      <c r="L93" s="89"/>
      <c r="M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3"/>
      <c r="J94" s="83"/>
      <c r="K94" s="89"/>
      <c r="L94" s="89"/>
      <c r="M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3"/>
      <c r="J95" s="83"/>
      <c r="K95" s="89"/>
      <c r="L95" s="89"/>
      <c r="M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3"/>
      <c r="J96" s="83"/>
      <c r="K96" s="89"/>
      <c r="L96" s="89"/>
      <c r="M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3"/>
      <c r="J97" s="83"/>
      <c r="K97" s="89"/>
      <c r="L97" s="89"/>
      <c r="M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3"/>
      <c r="J98" s="83"/>
      <c r="K98" s="89"/>
      <c r="L98" s="89"/>
      <c r="M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3"/>
      <c r="J99" s="83"/>
      <c r="K99" s="89"/>
      <c r="L99" s="89"/>
      <c r="M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3"/>
      <c r="J100" s="83"/>
      <c r="K100" s="89"/>
      <c r="L100" s="89"/>
      <c r="M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3"/>
      <c r="J101" s="83"/>
      <c r="K101" s="89"/>
      <c r="L101" s="89"/>
      <c r="M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3"/>
      <c r="J102" s="83"/>
      <c r="K102" s="89"/>
      <c r="L102" s="89"/>
      <c r="M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3"/>
      <c r="J103" s="83"/>
      <c r="K103" s="89"/>
      <c r="L103" s="89"/>
      <c r="M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3"/>
      <c r="J104" s="83"/>
      <c r="K104" s="89"/>
      <c r="L104" s="89"/>
      <c r="M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3"/>
      <c r="J105" s="83"/>
      <c r="K105" s="89"/>
      <c r="L105" s="89"/>
      <c r="M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3"/>
      <c r="J106" s="83"/>
      <c r="K106" s="89"/>
      <c r="L106" s="89"/>
      <c r="M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3"/>
      <c r="J107" s="83"/>
      <c r="K107" s="89"/>
      <c r="L107" s="89"/>
      <c r="M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3"/>
      <c r="J108" s="83"/>
      <c r="K108" s="89"/>
      <c r="L108" s="89"/>
      <c r="M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3"/>
      <c r="J109" s="83"/>
      <c r="K109" s="89"/>
      <c r="L109" s="89"/>
      <c r="M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3"/>
      <c r="J110" s="83"/>
      <c r="K110" s="89"/>
      <c r="L110" s="89"/>
      <c r="M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3"/>
      <c r="J111" s="83"/>
      <c r="K111" s="89"/>
      <c r="L111" s="89"/>
      <c r="M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3"/>
      <c r="J112" s="83"/>
      <c r="K112" s="89"/>
      <c r="L112" s="89"/>
      <c r="M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3"/>
      <c r="J113" s="83"/>
      <c r="K113" s="89"/>
      <c r="L113" s="89"/>
      <c r="M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3"/>
      <c r="J114" s="83"/>
      <c r="K114" s="89"/>
      <c r="L114" s="89"/>
      <c r="M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3"/>
      <c r="J115" s="83"/>
      <c r="K115" s="89"/>
      <c r="L115" s="89"/>
      <c r="M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3"/>
      <c r="J116" s="83"/>
      <c r="K116" s="89"/>
      <c r="L116" s="89"/>
      <c r="M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3"/>
      <c r="J117" s="83"/>
      <c r="K117" s="89"/>
      <c r="L117" s="89"/>
      <c r="M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3"/>
      <c r="J118" s="83"/>
      <c r="K118" s="89"/>
      <c r="L118" s="89"/>
      <c r="M118" s="89"/>
    </row>
  </sheetData>
  <hyperlinks>
    <hyperlink r:id="rId1" ref="L2"/>
    <hyperlink r:id="rId2" ref="M2"/>
    <hyperlink r:id="rId3" ref="L3"/>
    <hyperlink r:id="rId4" ref="M3"/>
    <hyperlink r:id="rId5" ref="L5"/>
    <hyperlink r:id="rId6" ref="M5"/>
    <hyperlink r:id="rId7" ref="L6"/>
    <hyperlink r:id="rId8" ref="M6"/>
    <hyperlink r:id="rId9" ref="L7"/>
    <hyperlink r:id="rId10" ref="M7"/>
    <hyperlink r:id="rId11" ref="L8"/>
    <hyperlink r:id="rId12" ref="M8"/>
    <hyperlink r:id="rId13" ref="L9"/>
    <hyperlink r:id="rId14" ref="M9"/>
    <hyperlink r:id="rId15" ref="L12"/>
    <hyperlink r:id="rId16" ref="M12"/>
    <hyperlink r:id="rId17" ref="L21"/>
    <hyperlink r:id="rId18" ref="M21"/>
    <hyperlink r:id="rId19" ref="L26"/>
    <hyperlink r:id="rId20" ref="M26"/>
    <hyperlink r:id="rId21" ref="L36"/>
    <hyperlink r:id="rId22" ref="M36"/>
    <hyperlink r:id="rId23" ref="L37"/>
    <hyperlink r:id="rId24" ref="M37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29"/>
    <col customWidth="1" min="3" max="3" width="18.86"/>
    <col customWidth="1" min="4" max="4" width="6.86"/>
    <col customWidth="1" min="5" max="5" width="6.14"/>
    <col customWidth="1" min="6" max="6" width="15.0"/>
    <col customWidth="1" min="7" max="8" width="6.43"/>
    <col customWidth="1" min="9" max="9" width="37.43"/>
    <col customWidth="1" min="10" max="10" width="55.0"/>
    <col customWidth="1" min="11" max="11" width="34.14"/>
    <col customWidth="1" min="12" max="12" width="9.71"/>
    <col customWidth="1" min="13" max="13" width="4.57"/>
    <col customWidth="1" min="14" max="14" width="6.14"/>
    <col customWidth="1" min="15" max="15" width="9.71"/>
    <col customWidth="1" min="16" max="16" width="5.14"/>
    <col customWidth="1" min="17" max="17" width="4.43"/>
    <col customWidth="1" min="18" max="18" width="41.0"/>
    <col customWidth="1" min="19" max="19" width="26.57"/>
    <col customWidth="1" min="20" max="20" width="10.29"/>
    <col customWidth="1" min="21" max="22" width="5.43"/>
  </cols>
  <sheetData>
    <row r="1">
      <c r="A1" s="90" t="s">
        <v>1008</v>
      </c>
      <c r="B1" s="90" t="s">
        <v>404</v>
      </c>
      <c r="C1" s="90" t="s">
        <v>405</v>
      </c>
      <c r="D1" s="90" t="s">
        <v>406</v>
      </c>
      <c r="E1" s="90" t="s">
        <v>1009</v>
      </c>
      <c r="F1" s="90" t="s">
        <v>407</v>
      </c>
      <c r="G1" s="90" t="s">
        <v>408</v>
      </c>
      <c r="H1" s="90" t="s">
        <v>409</v>
      </c>
      <c r="I1" s="91" t="s">
        <v>1227</v>
      </c>
      <c r="J1" s="91" t="s">
        <v>1228</v>
      </c>
      <c r="K1" s="90" t="s">
        <v>412</v>
      </c>
      <c r="L1" s="90" t="s">
        <v>413</v>
      </c>
      <c r="M1" s="92"/>
      <c r="N1" s="92"/>
      <c r="O1" s="92"/>
      <c r="P1" s="92"/>
      <c r="Q1" s="92"/>
      <c r="R1" s="92"/>
      <c r="S1" s="92"/>
      <c r="T1" s="92"/>
      <c r="U1" s="92"/>
      <c r="V1" s="92"/>
    </row>
    <row r="2">
      <c r="A2" s="93">
        <v>1.0</v>
      </c>
      <c r="B2" s="74" t="s">
        <v>474</v>
      </c>
      <c r="C2" s="94" t="s">
        <v>475</v>
      </c>
      <c r="D2" s="95" t="s">
        <v>418</v>
      </c>
      <c r="E2" s="95" t="s">
        <v>1013</v>
      </c>
      <c r="F2" s="95" t="s">
        <v>425</v>
      </c>
      <c r="G2" s="95" t="s">
        <v>431</v>
      </c>
      <c r="H2" s="95" t="s">
        <v>18</v>
      </c>
      <c r="I2" s="74" t="s">
        <v>477</v>
      </c>
      <c r="J2" s="95" t="s">
        <v>477</v>
      </c>
      <c r="K2" s="78" t="s">
        <v>478</v>
      </c>
      <c r="L2" s="74">
        <v>8.696326472E9</v>
      </c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93">
        <v>2.0</v>
      </c>
      <c r="B3" s="74" t="s">
        <v>481</v>
      </c>
      <c r="C3" s="94" t="s">
        <v>482</v>
      </c>
      <c r="D3" s="95" t="s">
        <v>418</v>
      </c>
      <c r="E3" s="95" t="s">
        <v>1013</v>
      </c>
      <c r="F3" s="95" t="s">
        <v>425</v>
      </c>
      <c r="G3" s="95" t="s">
        <v>564</v>
      </c>
      <c r="H3" s="95" t="s">
        <v>18</v>
      </c>
      <c r="I3" s="74" t="s">
        <v>477</v>
      </c>
      <c r="J3" s="95" t="s">
        <v>477</v>
      </c>
      <c r="K3" s="78" t="s">
        <v>484</v>
      </c>
      <c r="L3" s="74">
        <v>7.878915195E9</v>
      </c>
      <c r="M3" s="92"/>
      <c r="N3" s="92"/>
      <c r="O3" s="92"/>
      <c r="P3" s="92"/>
      <c r="Q3" s="92"/>
      <c r="R3" s="92"/>
      <c r="S3" s="92"/>
      <c r="T3" s="92"/>
      <c r="U3" s="92"/>
      <c r="V3" s="92"/>
    </row>
    <row r="4">
      <c r="A4" s="93">
        <v>3.0</v>
      </c>
      <c r="B4" s="74" t="s">
        <v>1024</v>
      </c>
      <c r="C4" s="94" t="s">
        <v>1025</v>
      </c>
      <c r="D4" s="95" t="s">
        <v>418</v>
      </c>
      <c r="E4" s="95" t="s">
        <v>1013</v>
      </c>
      <c r="F4" s="95" t="s">
        <v>425</v>
      </c>
      <c r="G4" s="95" t="s">
        <v>431</v>
      </c>
      <c r="H4" s="95" t="s">
        <v>18</v>
      </c>
      <c r="I4" s="74"/>
      <c r="J4" s="95" t="s">
        <v>1026</v>
      </c>
      <c r="K4" s="78" t="s">
        <v>1027</v>
      </c>
      <c r="L4" s="74">
        <v>7.976369203E9</v>
      </c>
      <c r="M4" s="92"/>
      <c r="N4" s="92"/>
      <c r="O4" s="92"/>
      <c r="P4" s="92"/>
      <c r="Q4" s="92"/>
      <c r="R4" s="92"/>
      <c r="S4" s="92"/>
      <c r="T4" s="92"/>
      <c r="U4" s="92"/>
      <c r="V4" s="92"/>
    </row>
    <row r="5">
      <c r="A5" s="93">
        <v>4.0</v>
      </c>
      <c r="B5" s="74" t="s">
        <v>453</v>
      </c>
      <c r="C5" s="94" t="s">
        <v>454</v>
      </c>
      <c r="D5" s="95" t="s">
        <v>418</v>
      </c>
      <c r="E5" s="95" t="s">
        <v>1013</v>
      </c>
      <c r="F5" s="95" t="s">
        <v>425</v>
      </c>
      <c r="G5" s="95" t="s">
        <v>431</v>
      </c>
      <c r="H5" s="95" t="s">
        <v>19</v>
      </c>
      <c r="I5" s="74" t="s">
        <v>1229</v>
      </c>
      <c r="J5" s="95" t="s">
        <v>1229</v>
      </c>
      <c r="K5" s="78" t="s">
        <v>455</v>
      </c>
      <c r="L5" s="74">
        <v>9.214798051E9</v>
      </c>
      <c r="M5" s="92"/>
      <c r="N5" s="92"/>
      <c r="O5" s="92"/>
      <c r="P5" s="92"/>
      <c r="Q5" s="92"/>
      <c r="R5" s="92"/>
      <c r="S5" s="92"/>
      <c r="T5" s="92"/>
      <c r="U5" s="92"/>
      <c r="V5" s="92"/>
    </row>
    <row r="6">
      <c r="A6" s="93">
        <v>5.0</v>
      </c>
      <c r="B6" s="74" t="s">
        <v>1011</v>
      </c>
      <c r="C6" s="94" t="s">
        <v>1012</v>
      </c>
      <c r="D6" s="95" t="s">
        <v>513</v>
      </c>
      <c r="E6" s="95" t="s">
        <v>1013</v>
      </c>
      <c r="F6" s="95" t="s">
        <v>524</v>
      </c>
      <c r="G6" s="95"/>
      <c r="H6" s="95" t="s">
        <v>20</v>
      </c>
      <c r="I6" s="74"/>
      <c r="J6" s="95" t="s">
        <v>1014</v>
      </c>
      <c r="K6" s="78" t="s">
        <v>1015</v>
      </c>
      <c r="L6" s="74">
        <v>9.747955374E9</v>
      </c>
      <c r="M6" s="92"/>
      <c r="N6" s="92"/>
      <c r="O6" s="92"/>
      <c r="P6" s="92"/>
      <c r="Q6" s="92"/>
      <c r="R6" s="92"/>
      <c r="S6" s="92"/>
      <c r="T6" s="92"/>
      <c r="U6" s="92"/>
      <c r="V6" s="92"/>
    </row>
    <row r="7">
      <c r="A7" s="93">
        <v>6.0</v>
      </c>
      <c r="B7" s="74" t="s">
        <v>1018</v>
      </c>
      <c r="C7" s="94" t="s">
        <v>1019</v>
      </c>
      <c r="D7" s="95" t="s">
        <v>513</v>
      </c>
      <c r="E7" s="95" t="s">
        <v>1013</v>
      </c>
      <c r="F7" s="95" t="s">
        <v>419</v>
      </c>
      <c r="G7" s="95"/>
      <c r="H7" s="95" t="s">
        <v>20</v>
      </c>
      <c r="I7" s="74"/>
      <c r="J7" s="95" t="s">
        <v>1020</v>
      </c>
      <c r="K7" s="78" t="s">
        <v>1021</v>
      </c>
      <c r="L7" s="74">
        <v>8.209561571E9</v>
      </c>
      <c r="M7" s="92"/>
      <c r="N7" s="92"/>
      <c r="O7" s="92"/>
      <c r="P7" s="92"/>
      <c r="Q7" s="92"/>
      <c r="R7" s="92"/>
      <c r="S7" s="92"/>
      <c r="T7" s="92"/>
      <c r="U7" s="92"/>
      <c r="V7" s="92"/>
    </row>
    <row r="8">
      <c r="A8" s="93">
        <v>7.0</v>
      </c>
      <c r="B8" s="74" t="s">
        <v>1034</v>
      </c>
      <c r="C8" s="94" t="s">
        <v>1035</v>
      </c>
      <c r="D8" s="95" t="s">
        <v>513</v>
      </c>
      <c r="E8" s="95" t="s">
        <v>1013</v>
      </c>
      <c r="F8" s="95" t="s">
        <v>524</v>
      </c>
      <c r="G8" s="95" t="s">
        <v>431</v>
      </c>
      <c r="H8" s="95" t="s">
        <v>20</v>
      </c>
      <c r="I8" s="74"/>
      <c r="J8" s="95" t="s">
        <v>1030</v>
      </c>
      <c r="K8" s="78" t="s">
        <v>1036</v>
      </c>
      <c r="L8" s="74">
        <v>9.509771206E9</v>
      </c>
      <c r="M8" s="92"/>
      <c r="N8" s="92"/>
      <c r="O8" s="92"/>
      <c r="P8" s="92"/>
      <c r="Q8" s="92"/>
      <c r="R8" s="92"/>
      <c r="S8" s="92"/>
      <c r="T8" s="92"/>
      <c r="U8" s="92"/>
      <c r="V8" s="92"/>
    </row>
    <row r="9">
      <c r="A9" s="93">
        <v>8.0</v>
      </c>
      <c r="B9" s="74" t="s">
        <v>1039</v>
      </c>
      <c r="C9" s="94" t="s">
        <v>1040</v>
      </c>
      <c r="D9" s="95" t="s">
        <v>513</v>
      </c>
      <c r="E9" s="95" t="s">
        <v>1013</v>
      </c>
      <c r="F9" s="95" t="s">
        <v>524</v>
      </c>
      <c r="G9" s="95" t="s">
        <v>431</v>
      </c>
      <c r="H9" s="95" t="s">
        <v>20</v>
      </c>
      <c r="I9" s="74"/>
      <c r="J9" s="95" t="s">
        <v>1030</v>
      </c>
      <c r="K9" s="78" t="s">
        <v>1041</v>
      </c>
      <c r="L9" s="74">
        <v>6.375492259E9</v>
      </c>
      <c r="M9" s="92"/>
      <c r="N9" s="92"/>
      <c r="O9" s="92"/>
      <c r="P9" s="92"/>
      <c r="Q9" s="92"/>
      <c r="R9" s="92"/>
      <c r="S9" s="92"/>
      <c r="T9" s="92"/>
      <c r="U9" s="92"/>
      <c r="V9" s="92"/>
    </row>
    <row r="10">
      <c r="A10" s="93">
        <v>9.0</v>
      </c>
      <c r="B10" s="74" t="s">
        <v>1044</v>
      </c>
      <c r="C10" s="94" t="s">
        <v>1045</v>
      </c>
      <c r="D10" s="95" t="s">
        <v>513</v>
      </c>
      <c r="E10" s="95" t="s">
        <v>1013</v>
      </c>
      <c r="F10" s="95" t="s">
        <v>524</v>
      </c>
      <c r="G10" s="95" t="s">
        <v>431</v>
      </c>
      <c r="H10" s="95" t="s">
        <v>20</v>
      </c>
      <c r="I10" s="74"/>
      <c r="J10" s="95" t="s">
        <v>1030</v>
      </c>
      <c r="K10" s="78" t="s">
        <v>1046</v>
      </c>
      <c r="L10" s="74">
        <v>9.602888847E9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>
      <c r="A11" s="93">
        <v>10.0</v>
      </c>
      <c r="B11" s="74" t="s">
        <v>1049</v>
      </c>
      <c r="C11" s="94" t="s">
        <v>1050</v>
      </c>
      <c r="D11" s="95" t="s">
        <v>469</v>
      </c>
      <c r="E11" s="95" t="s">
        <v>1013</v>
      </c>
      <c r="F11" s="95" t="s">
        <v>524</v>
      </c>
      <c r="G11" s="95" t="s">
        <v>431</v>
      </c>
      <c r="H11" s="95" t="s">
        <v>20</v>
      </c>
      <c r="I11" s="74"/>
      <c r="J11" s="95" t="s">
        <v>1030</v>
      </c>
      <c r="K11" s="78" t="s">
        <v>1051</v>
      </c>
      <c r="L11" s="74">
        <v>7.014683025E9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</row>
    <row r="12">
      <c r="A12" s="93">
        <v>11.0</v>
      </c>
      <c r="B12" s="74" t="s">
        <v>1028</v>
      </c>
      <c r="C12" s="94" t="s">
        <v>1029</v>
      </c>
      <c r="D12" s="95" t="s">
        <v>469</v>
      </c>
      <c r="E12" s="95" t="s">
        <v>1013</v>
      </c>
      <c r="F12" s="95" t="s">
        <v>524</v>
      </c>
      <c r="G12" s="95" t="s">
        <v>431</v>
      </c>
      <c r="H12" s="95" t="s">
        <v>20</v>
      </c>
      <c r="I12" s="74"/>
      <c r="J12" s="95" t="s">
        <v>1030</v>
      </c>
      <c r="K12" s="78" t="s">
        <v>1031</v>
      </c>
      <c r="L12" s="74">
        <v>9.760482712E9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</row>
    <row r="13">
      <c r="A13" s="93">
        <v>12.0</v>
      </c>
      <c r="B13" s="74" t="s">
        <v>446</v>
      </c>
      <c r="C13" s="94" t="s">
        <v>447</v>
      </c>
      <c r="D13" s="95" t="s">
        <v>418</v>
      </c>
      <c r="E13" s="95" t="s">
        <v>1013</v>
      </c>
      <c r="F13" s="95" t="s">
        <v>425</v>
      </c>
      <c r="G13" s="95" t="s">
        <v>531</v>
      </c>
      <c r="H13" s="95" t="s">
        <v>18</v>
      </c>
      <c r="I13" s="74" t="s">
        <v>449</v>
      </c>
      <c r="J13" s="95" t="s">
        <v>449</v>
      </c>
      <c r="K13" s="78" t="s">
        <v>450</v>
      </c>
      <c r="L13" s="74">
        <v>9.057157661E9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</row>
    <row r="14">
      <c r="A14" s="93">
        <v>13.0</v>
      </c>
      <c r="B14" s="74" t="s">
        <v>458</v>
      </c>
      <c r="C14" s="94" t="s">
        <v>459</v>
      </c>
      <c r="D14" s="95" t="s">
        <v>430</v>
      </c>
      <c r="E14" s="95" t="s">
        <v>1013</v>
      </c>
      <c r="F14" s="95" t="s">
        <v>425</v>
      </c>
      <c r="G14" s="95" t="s">
        <v>564</v>
      </c>
      <c r="H14" s="95" t="s">
        <v>18</v>
      </c>
      <c r="I14" s="74" t="s">
        <v>1230</v>
      </c>
      <c r="J14" s="95" t="s">
        <v>1230</v>
      </c>
      <c r="K14" s="78" t="s">
        <v>461</v>
      </c>
      <c r="L14" s="74">
        <v>8.957013724E9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</row>
    <row r="15">
      <c r="A15" s="93">
        <v>14.0</v>
      </c>
      <c r="B15" s="74" t="s">
        <v>462</v>
      </c>
      <c r="C15" s="94" t="s">
        <v>463</v>
      </c>
      <c r="D15" s="95" t="s">
        <v>418</v>
      </c>
      <c r="E15" s="95" t="s">
        <v>1013</v>
      </c>
      <c r="F15" s="95" t="s">
        <v>464</v>
      </c>
      <c r="G15" s="95" t="s">
        <v>431</v>
      </c>
      <c r="H15" s="95" t="s">
        <v>18</v>
      </c>
      <c r="I15" s="74" t="s">
        <v>1230</v>
      </c>
      <c r="J15" s="95" t="s">
        <v>1230</v>
      </c>
      <c r="K15" s="78" t="s">
        <v>466</v>
      </c>
      <c r="L15" s="74">
        <v>9.667623745E9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</row>
    <row r="16" ht="15.75" customHeight="1">
      <c r="A16" s="93">
        <v>15.0</v>
      </c>
      <c r="B16" s="74" t="s">
        <v>499</v>
      </c>
      <c r="C16" s="94" t="s">
        <v>500</v>
      </c>
      <c r="D16" s="95" t="s">
        <v>418</v>
      </c>
      <c r="E16" s="95" t="s">
        <v>1013</v>
      </c>
      <c r="F16" s="95" t="s">
        <v>501</v>
      </c>
      <c r="G16" s="95" t="s">
        <v>502</v>
      </c>
      <c r="H16" s="95" t="s">
        <v>19</v>
      </c>
      <c r="I16" s="74" t="s">
        <v>490</v>
      </c>
      <c r="J16" s="95" t="s">
        <v>490</v>
      </c>
      <c r="K16" s="78" t="s">
        <v>503</v>
      </c>
      <c r="L16" s="74">
        <v>8.000232886E9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</row>
    <row r="17" ht="15.75" customHeight="1">
      <c r="A17" s="93">
        <v>16.0</v>
      </c>
      <c r="B17" s="74" t="s">
        <v>1069</v>
      </c>
      <c r="C17" s="94" t="s">
        <v>1070</v>
      </c>
      <c r="D17" s="95" t="s">
        <v>513</v>
      </c>
      <c r="E17" s="95" t="s">
        <v>1013</v>
      </c>
      <c r="F17" s="95" t="s">
        <v>905</v>
      </c>
      <c r="G17" s="95" t="s">
        <v>431</v>
      </c>
      <c r="H17" s="95" t="s">
        <v>20</v>
      </c>
      <c r="I17" s="74"/>
      <c r="J17" s="95" t="s">
        <v>1071</v>
      </c>
      <c r="K17" s="78" t="s">
        <v>1072</v>
      </c>
      <c r="L17" s="74">
        <v>9.462463887E9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</row>
    <row r="18" ht="15.75" customHeight="1">
      <c r="A18" s="93">
        <v>17.0</v>
      </c>
      <c r="B18" s="74" t="s">
        <v>1077</v>
      </c>
      <c r="C18" s="94" t="s">
        <v>1078</v>
      </c>
      <c r="D18" s="95" t="s">
        <v>469</v>
      </c>
      <c r="E18" s="95" t="s">
        <v>1013</v>
      </c>
      <c r="F18" s="95" t="s">
        <v>419</v>
      </c>
      <c r="G18" s="95" t="s">
        <v>531</v>
      </c>
      <c r="H18" s="95" t="s">
        <v>20</v>
      </c>
      <c r="I18" s="74"/>
      <c r="J18" s="95" t="s">
        <v>1079</v>
      </c>
      <c r="K18" s="78" t="s">
        <v>1080</v>
      </c>
      <c r="L18" s="74">
        <v>7.410809994E9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</row>
    <row r="19" ht="15.75" customHeight="1">
      <c r="A19" s="93">
        <v>18.0</v>
      </c>
      <c r="B19" s="74" t="s">
        <v>631</v>
      </c>
      <c r="C19" s="94" t="s">
        <v>632</v>
      </c>
      <c r="D19" s="95" t="s">
        <v>418</v>
      </c>
      <c r="E19" s="95" t="s">
        <v>1013</v>
      </c>
      <c r="F19" s="95" t="s">
        <v>425</v>
      </c>
      <c r="G19" s="95" t="s">
        <v>531</v>
      </c>
      <c r="H19" s="95" t="s">
        <v>19</v>
      </c>
      <c r="I19" s="74" t="s">
        <v>570</v>
      </c>
      <c r="J19" s="95" t="s">
        <v>570</v>
      </c>
      <c r="K19" s="78" t="s">
        <v>633</v>
      </c>
      <c r="L19" s="74">
        <v>9.079186401E9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</row>
    <row r="20" ht="15.75" customHeight="1">
      <c r="A20" s="93">
        <v>19.0</v>
      </c>
      <c r="B20" s="74" t="s">
        <v>487</v>
      </c>
      <c r="C20" s="94" t="s">
        <v>488</v>
      </c>
      <c r="D20" s="95" t="s">
        <v>418</v>
      </c>
      <c r="E20" s="95" t="s">
        <v>1013</v>
      </c>
      <c r="F20" s="95" t="s">
        <v>464</v>
      </c>
      <c r="G20" s="95" t="s">
        <v>431</v>
      </c>
      <c r="H20" s="95" t="s">
        <v>18</v>
      </c>
      <c r="I20" s="74" t="s">
        <v>490</v>
      </c>
      <c r="J20" s="95" t="s">
        <v>490</v>
      </c>
      <c r="K20" s="78" t="s">
        <v>491</v>
      </c>
      <c r="L20" s="74">
        <v>9.511581943E9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</row>
    <row r="21" ht="15.75" customHeight="1">
      <c r="A21" s="93">
        <v>20.0</v>
      </c>
      <c r="B21" s="74" t="s">
        <v>640</v>
      </c>
      <c r="C21" s="94" t="s">
        <v>641</v>
      </c>
      <c r="D21" s="95" t="s">
        <v>418</v>
      </c>
      <c r="E21" s="95" t="s">
        <v>1013</v>
      </c>
      <c r="F21" s="95" t="s">
        <v>425</v>
      </c>
      <c r="G21" s="95" t="s">
        <v>564</v>
      </c>
      <c r="H21" s="95" t="s">
        <v>18</v>
      </c>
      <c r="I21" s="74" t="s">
        <v>642</v>
      </c>
      <c r="J21" s="95" t="s">
        <v>642</v>
      </c>
      <c r="K21" s="78" t="s">
        <v>643</v>
      </c>
      <c r="L21" s="74">
        <v>9.35229811E9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93">
        <v>21.0</v>
      </c>
      <c r="B22" s="74" t="s">
        <v>626</v>
      </c>
      <c r="C22" s="94" t="s">
        <v>627</v>
      </c>
      <c r="D22" s="95" t="s">
        <v>418</v>
      </c>
      <c r="E22" s="95" t="s">
        <v>1013</v>
      </c>
      <c r="F22" s="95" t="s">
        <v>425</v>
      </c>
      <c r="G22" s="95" t="s">
        <v>431</v>
      </c>
      <c r="H22" s="95" t="s">
        <v>18</v>
      </c>
      <c r="I22" s="74" t="s">
        <v>570</v>
      </c>
      <c r="J22" s="95" t="s">
        <v>570</v>
      </c>
      <c r="K22" s="78" t="s">
        <v>628</v>
      </c>
      <c r="L22" s="74">
        <v>6.378674259E9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ht="15.75" customHeight="1">
      <c r="A23" s="93">
        <v>22.0</v>
      </c>
      <c r="B23" s="74" t="s">
        <v>494</v>
      </c>
      <c r="C23" s="94" t="s">
        <v>495</v>
      </c>
      <c r="D23" s="95" t="s">
        <v>430</v>
      </c>
      <c r="E23" s="95" t="s">
        <v>1013</v>
      </c>
      <c r="F23" s="95" t="s">
        <v>425</v>
      </c>
      <c r="G23" s="95" t="s">
        <v>431</v>
      </c>
      <c r="H23" s="95" t="s">
        <v>18</v>
      </c>
      <c r="I23" s="74" t="s">
        <v>490</v>
      </c>
      <c r="J23" s="95" t="s">
        <v>490</v>
      </c>
      <c r="K23" s="78" t="s">
        <v>496</v>
      </c>
      <c r="L23" s="74">
        <v>8.955387068E9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ht="15.75" customHeight="1">
      <c r="A24" s="93">
        <v>23.0</v>
      </c>
      <c r="B24" s="74" t="s">
        <v>1099</v>
      </c>
      <c r="C24" s="94" t="s">
        <v>1100</v>
      </c>
      <c r="D24" s="95" t="s">
        <v>418</v>
      </c>
      <c r="E24" s="95" t="s">
        <v>1013</v>
      </c>
      <c r="F24" s="95" t="s">
        <v>464</v>
      </c>
      <c r="G24" s="95" t="s">
        <v>884</v>
      </c>
      <c r="H24" s="95" t="s">
        <v>19</v>
      </c>
      <c r="I24" s="74"/>
      <c r="J24" s="95" t="s">
        <v>1101</v>
      </c>
      <c r="K24" s="78" t="s">
        <v>1102</v>
      </c>
      <c r="L24" s="74">
        <v>6.37714757E9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ht="15.75" customHeight="1">
      <c r="A25" s="93">
        <v>24.0</v>
      </c>
      <c r="B25" s="74" t="s">
        <v>682</v>
      </c>
      <c r="C25" s="94" t="s">
        <v>683</v>
      </c>
      <c r="D25" s="95" t="s">
        <v>430</v>
      </c>
      <c r="E25" s="95" t="s">
        <v>1013</v>
      </c>
      <c r="F25" s="95" t="s">
        <v>501</v>
      </c>
      <c r="G25" s="95" t="s">
        <v>502</v>
      </c>
      <c r="H25" s="95" t="s">
        <v>19</v>
      </c>
      <c r="I25" s="74" t="s">
        <v>668</v>
      </c>
      <c r="J25" s="95" t="s">
        <v>668</v>
      </c>
      <c r="K25" s="78" t="s">
        <v>684</v>
      </c>
      <c r="L25" s="74">
        <v>8.824569377E9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ht="15.75" customHeight="1">
      <c r="A26" s="93">
        <v>25.0</v>
      </c>
      <c r="B26" s="74" t="s">
        <v>522</v>
      </c>
      <c r="C26" s="94" t="s">
        <v>523</v>
      </c>
      <c r="D26" s="95" t="s">
        <v>418</v>
      </c>
      <c r="E26" s="95" t="s">
        <v>1013</v>
      </c>
      <c r="F26" s="95" t="s">
        <v>524</v>
      </c>
      <c r="G26" s="95" t="s">
        <v>431</v>
      </c>
      <c r="H26" s="95" t="s">
        <v>18</v>
      </c>
      <c r="I26" s="74" t="s">
        <v>490</v>
      </c>
      <c r="J26" s="95" t="s">
        <v>490</v>
      </c>
      <c r="K26" s="78" t="s">
        <v>526</v>
      </c>
      <c r="L26" s="74">
        <v>8.005920863E9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15.75" customHeight="1">
      <c r="A27" s="93">
        <v>26.0</v>
      </c>
      <c r="B27" s="74" t="s">
        <v>679</v>
      </c>
      <c r="C27" s="94" t="s">
        <v>680</v>
      </c>
      <c r="D27" s="95" t="s">
        <v>418</v>
      </c>
      <c r="E27" s="95" t="s">
        <v>1013</v>
      </c>
      <c r="F27" s="95" t="s">
        <v>425</v>
      </c>
      <c r="G27" s="95" t="s">
        <v>564</v>
      </c>
      <c r="H27" s="95" t="s">
        <v>19</v>
      </c>
      <c r="I27" s="74" t="s">
        <v>668</v>
      </c>
      <c r="J27" s="95" t="s">
        <v>668</v>
      </c>
      <c r="K27" s="78" t="s">
        <v>681</v>
      </c>
      <c r="L27" s="74">
        <v>7.597125038E9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ht="15.75" customHeight="1">
      <c r="A28" s="93">
        <v>27.0</v>
      </c>
      <c r="B28" s="74" t="s">
        <v>688</v>
      </c>
      <c r="C28" s="94" t="s">
        <v>689</v>
      </c>
      <c r="D28" s="95" t="s">
        <v>430</v>
      </c>
      <c r="E28" s="95" t="s">
        <v>1013</v>
      </c>
      <c r="F28" s="95" t="s">
        <v>553</v>
      </c>
      <c r="G28" s="95" t="s">
        <v>587</v>
      </c>
      <c r="H28" s="95" t="s">
        <v>19</v>
      </c>
      <c r="I28" s="74" t="s">
        <v>668</v>
      </c>
      <c r="J28" s="95" t="s">
        <v>668</v>
      </c>
      <c r="K28" s="78" t="s">
        <v>690</v>
      </c>
      <c r="L28" s="74">
        <v>9.057258914E9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ht="15.75" customHeight="1">
      <c r="A29" s="93">
        <v>28.0</v>
      </c>
      <c r="B29" s="74" t="s">
        <v>666</v>
      </c>
      <c r="C29" s="94" t="s">
        <v>667</v>
      </c>
      <c r="D29" s="95" t="s">
        <v>418</v>
      </c>
      <c r="E29" s="95" t="s">
        <v>1013</v>
      </c>
      <c r="F29" s="95" t="s">
        <v>425</v>
      </c>
      <c r="G29" s="95" t="s">
        <v>431</v>
      </c>
      <c r="H29" s="95" t="s">
        <v>18</v>
      </c>
      <c r="I29" s="74" t="s">
        <v>668</v>
      </c>
      <c r="J29" s="95" t="s">
        <v>668</v>
      </c>
      <c r="K29" s="78" t="s">
        <v>669</v>
      </c>
      <c r="L29" s="74">
        <v>9.19879939E9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ht="15.75" customHeight="1">
      <c r="A30" s="93">
        <v>29.0</v>
      </c>
      <c r="B30" s="74" t="s">
        <v>670</v>
      </c>
      <c r="C30" s="94" t="s">
        <v>671</v>
      </c>
      <c r="D30" s="95" t="s">
        <v>430</v>
      </c>
      <c r="E30" s="95" t="s">
        <v>1013</v>
      </c>
      <c r="F30" s="95" t="s">
        <v>425</v>
      </c>
      <c r="G30" s="95" t="s">
        <v>531</v>
      </c>
      <c r="H30" s="95" t="s">
        <v>18</v>
      </c>
      <c r="I30" s="74" t="s">
        <v>668</v>
      </c>
      <c r="J30" s="95" t="s">
        <v>668</v>
      </c>
      <c r="K30" s="78" t="s">
        <v>672</v>
      </c>
      <c r="L30" s="74">
        <v>9.50905617E9</v>
      </c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ht="15.75" customHeight="1">
      <c r="A31" s="93">
        <v>30.0</v>
      </c>
      <c r="B31" s="74" t="s">
        <v>673</v>
      </c>
      <c r="C31" s="94" t="s">
        <v>674</v>
      </c>
      <c r="D31" s="95" t="s">
        <v>418</v>
      </c>
      <c r="E31" s="95" t="s">
        <v>1013</v>
      </c>
      <c r="F31" s="95" t="s">
        <v>425</v>
      </c>
      <c r="G31" s="95" t="s">
        <v>531</v>
      </c>
      <c r="H31" s="95" t="s">
        <v>18</v>
      </c>
      <c r="I31" s="74" t="s">
        <v>668</v>
      </c>
      <c r="J31" s="95" t="s">
        <v>668</v>
      </c>
      <c r="K31" s="78" t="s">
        <v>675</v>
      </c>
      <c r="L31" s="74">
        <v>6.006887801E9</v>
      </c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ht="15.75" customHeight="1">
      <c r="A32" s="93">
        <v>31.0</v>
      </c>
      <c r="B32" s="74" t="s">
        <v>1103</v>
      </c>
      <c r="C32" s="94" t="s">
        <v>1104</v>
      </c>
      <c r="D32" s="95" t="s">
        <v>469</v>
      </c>
      <c r="E32" s="95" t="s">
        <v>1013</v>
      </c>
      <c r="F32" s="95" t="s">
        <v>419</v>
      </c>
      <c r="G32" s="95" t="s">
        <v>564</v>
      </c>
      <c r="H32" s="95" t="s">
        <v>20</v>
      </c>
      <c r="I32" s="74"/>
      <c r="J32" s="95" t="s">
        <v>1105</v>
      </c>
      <c r="K32" s="78" t="s">
        <v>1106</v>
      </c>
      <c r="L32" s="74">
        <v>6.350675285E9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ht="15.75" customHeight="1">
      <c r="A33" s="93">
        <v>32.0</v>
      </c>
      <c r="B33" s="74" t="s">
        <v>1063</v>
      </c>
      <c r="C33" s="94" t="s">
        <v>1064</v>
      </c>
      <c r="D33" s="95" t="s">
        <v>513</v>
      </c>
      <c r="E33" s="95" t="s">
        <v>1013</v>
      </c>
      <c r="F33" s="95" t="s">
        <v>419</v>
      </c>
      <c r="G33" s="95" t="s">
        <v>564</v>
      </c>
      <c r="H33" s="95" t="s">
        <v>20</v>
      </c>
      <c r="I33" s="74"/>
      <c r="J33" s="95" t="s">
        <v>1065</v>
      </c>
      <c r="K33" s="78" t="s">
        <v>1066</v>
      </c>
      <c r="L33" s="74">
        <v>9.799997472E9</v>
      </c>
      <c r="M33" s="92"/>
      <c r="N33" s="92"/>
      <c r="O33" s="92"/>
      <c r="P33" s="92"/>
      <c r="Q33" s="92"/>
      <c r="R33" s="92"/>
      <c r="S33" s="92"/>
      <c r="T33" s="92"/>
      <c r="U33" s="92"/>
      <c r="V33" s="92"/>
    </row>
    <row r="34" ht="15.75" customHeight="1">
      <c r="A34" s="93">
        <v>33.0</v>
      </c>
      <c r="B34" s="74" t="s">
        <v>1085</v>
      </c>
      <c r="C34" s="94" t="s">
        <v>1086</v>
      </c>
      <c r="D34" s="95" t="s">
        <v>513</v>
      </c>
      <c r="E34" s="95" t="s">
        <v>1013</v>
      </c>
      <c r="F34" s="95" t="s">
        <v>524</v>
      </c>
      <c r="G34" s="95" t="s">
        <v>431</v>
      </c>
      <c r="H34" s="95" t="s">
        <v>20</v>
      </c>
      <c r="I34" s="74"/>
      <c r="J34" s="95" t="s">
        <v>1087</v>
      </c>
      <c r="K34" s="78" t="s">
        <v>1088</v>
      </c>
      <c r="L34" s="74">
        <v>7.737009995E9</v>
      </c>
      <c r="M34" s="92"/>
      <c r="N34" s="92"/>
      <c r="O34" s="92"/>
      <c r="P34" s="92"/>
      <c r="Q34" s="92"/>
      <c r="R34" s="92"/>
      <c r="S34" s="92"/>
      <c r="T34" s="92"/>
      <c r="U34" s="92"/>
      <c r="V34" s="92"/>
    </row>
    <row r="35" ht="15.75" customHeight="1">
      <c r="A35" s="93">
        <v>34.0</v>
      </c>
      <c r="B35" s="74" t="s">
        <v>1059</v>
      </c>
      <c r="C35" s="94" t="s">
        <v>1060</v>
      </c>
      <c r="D35" s="95" t="s">
        <v>513</v>
      </c>
      <c r="E35" s="95" t="s">
        <v>1013</v>
      </c>
      <c r="F35" s="95" t="s">
        <v>425</v>
      </c>
      <c r="G35" s="95" t="s">
        <v>431</v>
      </c>
      <c r="H35" s="95" t="s">
        <v>20</v>
      </c>
      <c r="I35" s="74"/>
      <c r="J35" s="95" t="s">
        <v>1061</v>
      </c>
      <c r="K35" s="78" t="s">
        <v>1062</v>
      </c>
      <c r="L35" s="74">
        <v>6.367431036E9</v>
      </c>
      <c r="M35" s="92"/>
      <c r="N35" s="92"/>
      <c r="O35" s="92"/>
      <c r="P35" s="92"/>
      <c r="Q35" s="92"/>
      <c r="R35" s="92"/>
      <c r="S35" s="92"/>
      <c r="T35" s="92"/>
      <c r="U35" s="92"/>
      <c r="V35" s="92"/>
    </row>
    <row r="36" ht="15.75" customHeight="1">
      <c r="A36" s="93">
        <v>35.0</v>
      </c>
      <c r="B36" s="74" t="s">
        <v>1122</v>
      </c>
      <c r="C36" s="94" t="s">
        <v>1123</v>
      </c>
      <c r="D36" s="95" t="s">
        <v>513</v>
      </c>
      <c r="E36" s="95" t="s">
        <v>1013</v>
      </c>
      <c r="F36" s="95" t="s">
        <v>425</v>
      </c>
      <c r="G36" s="95" t="s">
        <v>587</v>
      </c>
      <c r="H36" s="95" t="s">
        <v>20</v>
      </c>
      <c r="I36" s="74"/>
      <c r="J36" s="95" t="s">
        <v>1124</v>
      </c>
      <c r="K36" s="78" t="s">
        <v>1125</v>
      </c>
      <c r="L36" s="74">
        <v>7.836984235E9</v>
      </c>
      <c r="M36" s="92"/>
      <c r="N36" s="92"/>
      <c r="O36" s="92"/>
      <c r="P36" s="92"/>
      <c r="Q36" s="92"/>
      <c r="R36" s="92"/>
      <c r="S36" s="92"/>
      <c r="T36" s="92"/>
      <c r="U36" s="92"/>
      <c r="V36" s="92"/>
    </row>
    <row r="37" ht="15.75" customHeight="1">
      <c r="A37" s="93">
        <v>36.0</v>
      </c>
      <c r="B37" s="74" t="s">
        <v>1113</v>
      </c>
      <c r="C37" s="94" t="s">
        <v>1114</v>
      </c>
      <c r="D37" s="95" t="s">
        <v>513</v>
      </c>
      <c r="E37" s="95" t="s">
        <v>37</v>
      </c>
      <c r="F37" s="95" t="s">
        <v>1115</v>
      </c>
      <c r="G37" s="95" t="s">
        <v>431</v>
      </c>
      <c r="H37" s="95" t="s">
        <v>20</v>
      </c>
      <c r="I37" s="74"/>
      <c r="J37" s="95" t="s">
        <v>1116</v>
      </c>
      <c r="K37" s="78" t="s">
        <v>1117</v>
      </c>
      <c r="L37" s="74">
        <v>9.829221341E9</v>
      </c>
      <c r="M37" s="92"/>
      <c r="N37" s="92"/>
      <c r="O37" s="92"/>
      <c r="P37" s="92"/>
      <c r="Q37" s="92"/>
      <c r="R37" s="92"/>
      <c r="S37" s="92"/>
      <c r="T37" s="92"/>
      <c r="U37" s="92"/>
      <c r="V37" s="92"/>
    </row>
    <row r="38" ht="15.75" customHeight="1">
      <c r="A38" s="93">
        <v>37.0</v>
      </c>
      <c r="B38" s="74" t="s">
        <v>1140</v>
      </c>
      <c r="C38" s="94" t="s">
        <v>1141</v>
      </c>
      <c r="D38" s="95" t="s">
        <v>469</v>
      </c>
      <c r="E38" s="95" t="s">
        <v>37</v>
      </c>
      <c r="F38" s="95" t="s">
        <v>1142</v>
      </c>
      <c r="G38" s="95" t="s">
        <v>431</v>
      </c>
      <c r="H38" s="95" t="s">
        <v>20</v>
      </c>
      <c r="I38" s="74"/>
      <c r="J38" s="95" t="s">
        <v>1143</v>
      </c>
      <c r="K38" s="78" t="s">
        <v>1144</v>
      </c>
      <c r="L38" s="74">
        <v>9.358344014E9</v>
      </c>
      <c r="M38" s="92"/>
      <c r="N38" s="92"/>
      <c r="O38" s="92"/>
      <c r="P38" s="92"/>
      <c r="Q38" s="92"/>
      <c r="R38" s="92"/>
      <c r="S38" s="92"/>
      <c r="T38" s="92"/>
      <c r="U38" s="92"/>
      <c r="V38" s="92"/>
    </row>
    <row r="39" ht="15.75" customHeight="1">
      <c r="A39" s="93">
        <v>38.0</v>
      </c>
      <c r="B39" s="74" t="s">
        <v>1054</v>
      </c>
      <c r="C39" s="94" t="s">
        <v>1055</v>
      </c>
      <c r="D39" s="95" t="s">
        <v>469</v>
      </c>
      <c r="E39" s="95" t="s">
        <v>37</v>
      </c>
      <c r="F39" s="95" t="s">
        <v>1056</v>
      </c>
      <c r="G39" s="95" t="s">
        <v>431</v>
      </c>
      <c r="H39" s="95" t="s">
        <v>20</v>
      </c>
      <c r="I39" s="74"/>
      <c r="J39" s="95" t="s">
        <v>1057</v>
      </c>
      <c r="K39" s="78" t="s">
        <v>1058</v>
      </c>
      <c r="L39" s="74">
        <v>7.850016874E9</v>
      </c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93">
        <v>39.0</v>
      </c>
      <c r="B40" s="74" t="s">
        <v>1089</v>
      </c>
      <c r="C40" s="94" t="s">
        <v>1090</v>
      </c>
      <c r="D40" s="95" t="s">
        <v>513</v>
      </c>
      <c r="E40" s="95" t="s">
        <v>37</v>
      </c>
      <c r="F40" s="95" t="s">
        <v>1091</v>
      </c>
      <c r="G40" s="95" t="s">
        <v>587</v>
      </c>
      <c r="H40" s="95" t="s">
        <v>20</v>
      </c>
      <c r="I40" s="74"/>
      <c r="J40" s="95" t="s">
        <v>1092</v>
      </c>
      <c r="K40" s="78" t="s">
        <v>1093</v>
      </c>
      <c r="L40" s="74">
        <v>8.306506879E9</v>
      </c>
      <c r="M40" s="92"/>
      <c r="N40" s="92"/>
      <c r="O40" s="92"/>
      <c r="P40" s="92"/>
      <c r="Q40" s="92"/>
      <c r="R40" s="92"/>
      <c r="S40" s="92"/>
      <c r="T40" s="92"/>
      <c r="U40" s="92"/>
      <c r="V40" s="92"/>
    </row>
    <row r="41" ht="15.75" customHeight="1">
      <c r="A41" s="93">
        <v>40.0</v>
      </c>
      <c r="B41" s="74" t="s">
        <v>1081</v>
      </c>
      <c r="C41" s="94" t="s">
        <v>1082</v>
      </c>
      <c r="D41" s="95" t="s">
        <v>513</v>
      </c>
      <c r="E41" s="95" t="s">
        <v>50</v>
      </c>
      <c r="F41" s="95" t="s">
        <v>50</v>
      </c>
      <c r="G41" s="95" t="s">
        <v>564</v>
      </c>
      <c r="H41" s="95" t="s">
        <v>20</v>
      </c>
      <c r="I41" s="74"/>
      <c r="J41" s="95" t="s">
        <v>1083</v>
      </c>
      <c r="K41" s="78" t="s">
        <v>1084</v>
      </c>
      <c r="L41" s="74">
        <v>9.352075009E9</v>
      </c>
      <c r="M41" s="92"/>
      <c r="N41" s="92"/>
      <c r="O41" s="92"/>
      <c r="P41" s="92"/>
      <c r="Q41" s="92"/>
      <c r="R41" s="92"/>
      <c r="S41" s="92"/>
      <c r="T41" s="92"/>
      <c r="U41" s="92"/>
      <c r="V41" s="92"/>
    </row>
    <row r="42" ht="15.75" customHeight="1">
      <c r="A42" s="93">
        <v>41.0</v>
      </c>
      <c r="B42" s="74" t="s">
        <v>691</v>
      </c>
      <c r="C42" s="94" t="s">
        <v>692</v>
      </c>
      <c r="D42" s="95" t="s">
        <v>513</v>
      </c>
      <c r="E42" s="95" t="s">
        <v>1013</v>
      </c>
      <c r="F42" s="95" t="s">
        <v>693</v>
      </c>
      <c r="G42" s="95" t="s">
        <v>431</v>
      </c>
      <c r="H42" s="95" t="s">
        <v>20</v>
      </c>
      <c r="I42" s="74" t="s">
        <v>668</v>
      </c>
      <c r="J42" s="95" t="s">
        <v>668</v>
      </c>
      <c r="K42" s="78" t="s">
        <v>694</v>
      </c>
      <c r="L42" s="74">
        <v>9.024648558E9</v>
      </c>
      <c r="M42" s="92"/>
      <c r="N42" s="92"/>
      <c r="O42" s="92"/>
      <c r="P42" s="92"/>
      <c r="Q42" s="92"/>
      <c r="R42" s="92"/>
      <c r="S42" s="92"/>
      <c r="T42" s="92"/>
      <c r="U42" s="92"/>
      <c r="V42" s="92"/>
    </row>
    <row r="43" ht="15.75" customHeight="1">
      <c r="A43" s="93">
        <v>42.0</v>
      </c>
      <c r="B43" s="74" t="s">
        <v>506</v>
      </c>
      <c r="C43" s="94" t="s">
        <v>507</v>
      </c>
      <c r="D43" s="95" t="s">
        <v>469</v>
      </c>
      <c r="E43" s="95" t="s">
        <v>1013</v>
      </c>
      <c r="F43" s="95" t="s">
        <v>425</v>
      </c>
      <c r="G43" s="95" t="s">
        <v>564</v>
      </c>
      <c r="H43" s="95" t="s">
        <v>20</v>
      </c>
      <c r="I43" s="74" t="s">
        <v>490</v>
      </c>
      <c r="J43" s="95" t="s">
        <v>490</v>
      </c>
      <c r="K43" s="78" t="s">
        <v>508</v>
      </c>
      <c r="L43" s="74">
        <v>8.20957976E9</v>
      </c>
      <c r="M43" s="92"/>
      <c r="N43" s="92"/>
      <c r="O43" s="92"/>
      <c r="P43" s="92"/>
      <c r="Q43" s="92"/>
      <c r="R43" s="92"/>
      <c r="S43" s="92"/>
      <c r="T43" s="92"/>
      <c r="U43" s="92"/>
      <c r="V43" s="92"/>
    </row>
    <row r="44" ht="15.75" customHeight="1">
      <c r="A44" s="93">
        <v>43.0</v>
      </c>
      <c r="B44" s="74" t="s">
        <v>511</v>
      </c>
      <c r="C44" s="94" t="s">
        <v>512</v>
      </c>
      <c r="D44" s="95" t="s">
        <v>513</v>
      </c>
      <c r="E44" s="95" t="s">
        <v>1013</v>
      </c>
      <c r="F44" s="95" t="s">
        <v>425</v>
      </c>
      <c r="G44" s="95" t="s">
        <v>564</v>
      </c>
      <c r="H44" s="95" t="s">
        <v>20</v>
      </c>
      <c r="I44" s="74" t="s">
        <v>490</v>
      </c>
      <c r="J44" s="95" t="s">
        <v>490</v>
      </c>
      <c r="K44" s="78" t="s">
        <v>514</v>
      </c>
      <c r="L44" s="74">
        <v>9.685533548E9</v>
      </c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15.75" customHeight="1">
      <c r="A45" s="93">
        <v>44.0</v>
      </c>
      <c r="B45" s="74" t="s">
        <v>517</v>
      </c>
      <c r="C45" s="94" t="s">
        <v>518</v>
      </c>
      <c r="D45" s="95" t="s">
        <v>513</v>
      </c>
      <c r="E45" s="95" t="s">
        <v>1013</v>
      </c>
      <c r="F45" s="95" t="s">
        <v>425</v>
      </c>
      <c r="G45" s="95" t="s">
        <v>531</v>
      </c>
      <c r="H45" s="95" t="s">
        <v>20</v>
      </c>
      <c r="I45" s="74" t="s">
        <v>490</v>
      </c>
      <c r="J45" s="95" t="s">
        <v>490</v>
      </c>
      <c r="K45" s="78" t="s">
        <v>519</v>
      </c>
      <c r="L45" s="74">
        <v>6.377662711E9</v>
      </c>
      <c r="M45" s="92"/>
      <c r="N45" s="92"/>
      <c r="O45" s="92"/>
      <c r="P45" s="92"/>
      <c r="Q45" s="92"/>
      <c r="R45" s="92"/>
      <c r="S45" s="92"/>
      <c r="T45" s="92"/>
      <c r="U45" s="92"/>
      <c r="V45" s="92"/>
    </row>
    <row r="46" ht="15.75" customHeight="1">
      <c r="A46" s="93">
        <v>45.0</v>
      </c>
      <c r="B46" s="74" t="s">
        <v>656</v>
      </c>
      <c r="C46" s="94" t="s">
        <v>657</v>
      </c>
      <c r="D46" s="95" t="s">
        <v>513</v>
      </c>
      <c r="E46" s="95" t="s">
        <v>1013</v>
      </c>
      <c r="F46" s="95" t="s">
        <v>419</v>
      </c>
      <c r="G46" s="95" t="s">
        <v>431</v>
      </c>
      <c r="H46" s="95" t="s">
        <v>20</v>
      </c>
      <c r="I46" s="74" t="s">
        <v>642</v>
      </c>
      <c r="J46" s="95" t="s">
        <v>642</v>
      </c>
      <c r="K46" s="78" t="s">
        <v>658</v>
      </c>
      <c r="L46" s="74">
        <v>7.014216612E9</v>
      </c>
      <c r="M46" s="92"/>
      <c r="N46" s="92"/>
      <c r="O46" s="92"/>
      <c r="P46" s="92"/>
      <c r="Q46" s="92"/>
      <c r="R46" s="92"/>
      <c r="S46" s="92"/>
      <c r="T46" s="92"/>
      <c r="U46" s="92"/>
      <c r="V46" s="92"/>
    </row>
    <row r="47" ht="15.75" customHeight="1">
      <c r="A47" s="93">
        <v>46.0</v>
      </c>
      <c r="B47" s="74" t="s">
        <v>661</v>
      </c>
      <c r="C47" s="94" t="s">
        <v>662</v>
      </c>
      <c r="D47" s="95" t="s">
        <v>513</v>
      </c>
      <c r="E47" s="95" t="s">
        <v>1013</v>
      </c>
      <c r="F47" s="95" t="s">
        <v>419</v>
      </c>
      <c r="G47" s="95" t="s">
        <v>564</v>
      </c>
      <c r="H47" s="95" t="s">
        <v>20</v>
      </c>
      <c r="I47" s="74" t="s">
        <v>642</v>
      </c>
      <c r="J47" s="95" t="s">
        <v>642</v>
      </c>
      <c r="K47" s="78" t="s">
        <v>663</v>
      </c>
      <c r="L47" s="74">
        <v>7.87766539E9</v>
      </c>
      <c r="M47" s="92"/>
      <c r="N47" s="92"/>
      <c r="O47" s="92"/>
      <c r="P47" s="92"/>
      <c r="Q47" s="92"/>
      <c r="R47" s="92"/>
      <c r="S47" s="92"/>
      <c r="T47" s="92"/>
      <c r="U47" s="92"/>
      <c r="V47" s="92"/>
    </row>
    <row r="48" ht="15.75" customHeight="1">
      <c r="A48" s="93">
        <v>47.0</v>
      </c>
      <c r="B48" s="74" t="s">
        <v>701</v>
      </c>
      <c r="C48" s="94" t="s">
        <v>702</v>
      </c>
      <c r="D48" s="95" t="s">
        <v>513</v>
      </c>
      <c r="E48" s="95" t="s">
        <v>1013</v>
      </c>
      <c r="F48" s="95" t="s">
        <v>524</v>
      </c>
      <c r="G48" s="95" t="s">
        <v>431</v>
      </c>
      <c r="H48" s="95" t="s">
        <v>20</v>
      </c>
      <c r="I48" s="74" t="s">
        <v>668</v>
      </c>
      <c r="J48" s="95" t="s">
        <v>668</v>
      </c>
      <c r="K48" s="78" t="s">
        <v>703</v>
      </c>
      <c r="L48" s="74">
        <v>6.378980638E9</v>
      </c>
      <c r="M48" s="92"/>
      <c r="N48" s="92"/>
      <c r="O48" s="92"/>
      <c r="P48" s="92"/>
      <c r="Q48" s="92"/>
      <c r="R48" s="92"/>
      <c r="S48" s="92"/>
      <c r="T48" s="92"/>
      <c r="U48" s="92"/>
      <c r="V48" s="92"/>
    </row>
    <row r="49" ht="15.75" customHeight="1">
      <c r="A49" s="93">
        <v>48.0</v>
      </c>
      <c r="B49" s="74" t="s">
        <v>1231</v>
      </c>
      <c r="C49" s="94" t="s">
        <v>1232</v>
      </c>
      <c r="D49" s="95" t="s">
        <v>513</v>
      </c>
      <c r="E49" s="95" t="s">
        <v>1013</v>
      </c>
      <c r="F49" s="95" t="s">
        <v>425</v>
      </c>
      <c r="G49" s="95" t="s">
        <v>564</v>
      </c>
      <c r="H49" s="95" t="s">
        <v>20</v>
      </c>
      <c r="I49" s="74"/>
      <c r="J49" s="95" t="s">
        <v>1233</v>
      </c>
      <c r="K49" s="78" t="s">
        <v>1234</v>
      </c>
      <c r="L49" s="74"/>
      <c r="M49" s="92"/>
      <c r="N49" s="92"/>
      <c r="O49" s="92"/>
      <c r="P49" s="92"/>
      <c r="Q49" s="92"/>
      <c r="R49" s="92"/>
      <c r="S49" s="92"/>
      <c r="T49" s="92"/>
      <c r="U49" s="92"/>
      <c r="V49" s="92"/>
    </row>
    <row r="50" ht="15.75" customHeight="1">
      <c r="A50" s="93">
        <v>49.0</v>
      </c>
      <c r="B50" s="74" t="s">
        <v>1235</v>
      </c>
      <c r="C50" s="94" t="s">
        <v>1236</v>
      </c>
      <c r="D50" s="95" t="s">
        <v>513</v>
      </c>
      <c r="E50" s="95" t="s">
        <v>1013</v>
      </c>
      <c r="F50" s="95" t="s">
        <v>425</v>
      </c>
      <c r="G50" s="95" t="s">
        <v>564</v>
      </c>
      <c r="H50" s="95" t="s">
        <v>20</v>
      </c>
      <c r="I50" s="74"/>
      <c r="J50" s="95" t="s">
        <v>1237</v>
      </c>
      <c r="K50" s="78" t="s">
        <v>1238</v>
      </c>
      <c r="L50" s="74"/>
      <c r="M50" s="92"/>
      <c r="N50" s="92"/>
      <c r="O50" s="92"/>
      <c r="P50" s="92"/>
      <c r="Q50" s="92"/>
      <c r="R50" s="92"/>
      <c r="S50" s="92"/>
      <c r="T50" s="92"/>
      <c r="U50" s="92"/>
      <c r="V50" s="92"/>
    </row>
    <row r="51" ht="15.75" customHeight="1">
      <c r="A51" s="93">
        <v>50.0</v>
      </c>
      <c r="B51" s="74" t="s">
        <v>1136</v>
      </c>
      <c r="C51" s="94" t="s">
        <v>1137</v>
      </c>
      <c r="D51" s="95" t="s">
        <v>513</v>
      </c>
      <c r="E51" s="95" t="s">
        <v>1013</v>
      </c>
      <c r="F51" s="95" t="s">
        <v>425</v>
      </c>
      <c r="G51" s="95" t="s">
        <v>531</v>
      </c>
      <c r="H51" s="95" t="s">
        <v>20</v>
      </c>
      <c r="I51" s="74"/>
      <c r="J51" s="95" t="s">
        <v>1138</v>
      </c>
      <c r="K51" s="78" t="s">
        <v>1139</v>
      </c>
      <c r="L51" s="74">
        <v>7.877191696E9</v>
      </c>
      <c r="M51" s="92"/>
      <c r="N51" s="92"/>
      <c r="O51" s="92"/>
      <c r="P51" s="92"/>
      <c r="Q51" s="92"/>
      <c r="R51" s="92"/>
      <c r="S51" s="92"/>
      <c r="T51" s="92"/>
      <c r="U51" s="92"/>
      <c r="V51" s="92"/>
    </row>
    <row r="52" ht="15.75" customHeight="1">
      <c r="A52" s="93">
        <v>51.0</v>
      </c>
      <c r="B52" s="74" t="s">
        <v>1118</v>
      </c>
      <c r="C52" s="94" t="s">
        <v>1119</v>
      </c>
      <c r="D52" s="95" t="s">
        <v>469</v>
      </c>
      <c r="E52" s="95" t="s">
        <v>1013</v>
      </c>
      <c r="F52" s="95" t="s">
        <v>425</v>
      </c>
      <c r="G52" s="95" t="s">
        <v>587</v>
      </c>
      <c r="H52" s="95" t="s">
        <v>20</v>
      </c>
      <c r="I52" s="74"/>
      <c r="J52" s="95" t="s">
        <v>1120</v>
      </c>
      <c r="K52" s="78" t="s">
        <v>1121</v>
      </c>
      <c r="L52" s="74">
        <v>9.92995239E9</v>
      </c>
      <c r="M52" s="92"/>
      <c r="N52" s="92"/>
      <c r="O52" s="92"/>
      <c r="P52" s="92"/>
      <c r="Q52" s="92"/>
      <c r="R52" s="92"/>
      <c r="S52" s="92"/>
      <c r="T52" s="92"/>
      <c r="U52" s="92"/>
      <c r="V52" s="92"/>
    </row>
    <row r="53" ht="15.75" customHeight="1">
      <c r="A53" s="93">
        <v>52.0</v>
      </c>
      <c r="B53" s="74" t="s">
        <v>766</v>
      </c>
      <c r="C53" s="94" t="s">
        <v>767</v>
      </c>
      <c r="D53" s="95" t="s">
        <v>418</v>
      </c>
      <c r="E53" s="95" t="s">
        <v>1013</v>
      </c>
      <c r="F53" s="95" t="s">
        <v>553</v>
      </c>
      <c r="G53" s="95" t="s">
        <v>431</v>
      </c>
      <c r="H53" s="95" t="s">
        <v>18</v>
      </c>
      <c r="I53" s="74" t="s">
        <v>757</v>
      </c>
      <c r="J53" s="95" t="s">
        <v>757</v>
      </c>
      <c r="K53" s="78" t="s">
        <v>768</v>
      </c>
      <c r="L53" s="74">
        <v>8.426005061E9</v>
      </c>
      <c r="M53" s="92"/>
      <c r="N53" s="92"/>
      <c r="O53" s="92"/>
      <c r="P53" s="92"/>
      <c r="Q53" s="92"/>
      <c r="R53" s="92"/>
      <c r="S53" s="92"/>
      <c r="T53" s="92"/>
      <c r="U53" s="92"/>
      <c r="V53" s="92"/>
    </row>
    <row r="54" ht="15.75" customHeight="1">
      <c r="A54" s="93">
        <v>53.0</v>
      </c>
      <c r="B54" s="74" t="s">
        <v>771</v>
      </c>
      <c r="C54" s="94" t="s">
        <v>772</v>
      </c>
      <c r="D54" s="95" t="s">
        <v>418</v>
      </c>
      <c r="E54" s="95" t="s">
        <v>1013</v>
      </c>
      <c r="F54" s="95" t="s">
        <v>553</v>
      </c>
      <c r="G54" s="95" t="s">
        <v>431</v>
      </c>
      <c r="H54" s="95" t="s">
        <v>18</v>
      </c>
      <c r="I54" s="74" t="s">
        <v>757</v>
      </c>
      <c r="J54" s="95" t="s">
        <v>757</v>
      </c>
      <c r="K54" s="78" t="s">
        <v>773</v>
      </c>
      <c r="L54" s="74">
        <v>8.824337299E9</v>
      </c>
      <c r="M54" s="92"/>
      <c r="N54" s="92"/>
      <c r="O54" s="92"/>
      <c r="P54" s="92"/>
      <c r="Q54" s="92"/>
      <c r="R54" s="92"/>
      <c r="S54" s="92"/>
      <c r="T54" s="92"/>
      <c r="U54" s="92"/>
      <c r="V54" s="92"/>
    </row>
    <row r="55" ht="15.75" customHeight="1">
      <c r="A55" s="93">
        <v>54.0</v>
      </c>
      <c r="B55" s="74" t="s">
        <v>755</v>
      </c>
      <c r="C55" s="94" t="s">
        <v>756</v>
      </c>
      <c r="D55" s="95" t="s">
        <v>430</v>
      </c>
      <c r="E55" s="95" t="s">
        <v>1013</v>
      </c>
      <c r="F55" s="95" t="s">
        <v>425</v>
      </c>
      <c r="G55" s="95" t="s">
        <v>531</v>
      </c>
      <c r="H55" s="95" t="s">
        <v>18</v>
      </c>
      <c r="I55" s="74" t="s">
        <v>757</v>
      </c>
      <c r="J55" s="95" t="s">
        <v>757</v>
      </c>
      <c r="K55" s="78" t="s">
        <v>758</v>
      </c>
      <c r="L55" s="74">
        <v>7.976667945E9</v>
      </c>
      <c r="M55" s="92"/>
      <c r="N55" s="92"/>
      <c r="O55" s="92"/>
      <c r="P55" s="92"/>
      <c r="Q55" s="92"/>
      <c r="R55" s="92"/>
      <c r="S55" s="92"/>
      <c r="T55" s="92"/>
      <c r="U55" s="92"/>
      <c r="V55" s="92"/>
    </row>
    <row r="56" ht="15.75" customHeight="1">
      <c r="A56" s="93">
        <v>55.0</v>
      </c>
      <c r="B56" s="74" t="s">
        <v>685</v>
      </c>
      <c r="C56" s="94" t="s">
        <v>1239</v>
      </c>
      <c r="D56" s="95" t="s">
        <v>430</v>
      </c>
      <c r="E56" s="95" t="s">
        <v>1013</v>
      </c>
      <c r="F56" s="95" t="s">
        <v>553</v>
      </c>
      <c r="G56" s="95" t="s">
        <v>587</v>
      </c>
      <c r="H56" s="95" t="s">
        <v>19</v>
      </c>
      <c r="I56" s="74" t="s">
        <v>668</v>
      </c>
      <c r="J56" s="95" t="s">
        <v>668</v>
      </c>
      <c r="K56" s="78" t="s">
        <v>687</v>
      </c>
      <c r="L56" s="74">
        <v>8.949807856E9</v>
      </c>
      <c r="M56" s="92"/>
      <c r="N56" s="92"/>
      <c r="O56" s="92"/>
      <c r="P56" s="92"/>
      <c r="Q56" s="92"/>
      <c r="R56" s="92"/>
      <c r="S56" s="92"/>
      <c r="T56" s="92"/>
      <c r="U56" s="92"/>
      <c r="V56" s="92"/>
    </row>
    <row r="57" ht="15.75" customHeight="1">
      <c r="A57" s="93">
        <v>56.0</v>
      </c>
      <c r="B57" s="74" t="s">
        <v>761</v>
      </c>
      <c r="C57" s="94" t="s">
        <v>762</v>
      </c>
      <c r="D57" s="95" t="s">
        <v>418</v>
      </c>
      <c r="E57" s="95" t="s">
        <v>1013</v>
      </c>
      <c r="F57" s="95" t="s">
        <v>425</v>
      </c>
      <c r="G57" s="95" t="s">
        <v>531</v>
      </c>
      <c r="H57" s="95" t="s">
        <v>18</v>
      </c>
      <c r="I57" s="74" t="s">
        <v>757</v>
      </c>
      <c r="J57" s="95" t="s">
        <v>757</v>
      </c>
      <c r="K57" s="78" t="s">
        <v>763</v>
      </c>
      <c r="L57" s="74">
        <v>9.661656803E9</v>
      </c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93">
        <v>57.0</v>
      </c>
      <c r="B58" s="74" t="s">
        <v>1165</v>
      </c>
      <c r="C58" s="94" t="s">
        <v>1166</v>
      </c>
      <c r="D58" s="95" t="s">
        <v>469</v>
      </c>
      <c r="E58" s="95" t="s">
        <v>1013</v>
      </c>
      <c r="F58" s="95" t="s">
        <v>425</v>
      </c>
      <c r="G58" s="95" t="s">
        <v>564</v>
      </c>
      <c r="H58" s="95" t="s">
        <v>20</v>
      </c>
      <c r="I58" s="74"/>
      <c r="J58" s="95" t="s">
        <v>1167</v>
      </c>
      <c r="K58" s="78" t="s">
        <v>1168</v>
      </c>
      <c r="L58" s="74">
        <v>7.426932093E9</v>
      </c>
      <c r="M58" s="92"/>
      <c r="N58" s="92"/>
      <c r="O58" s="92"/>
      <c r="P58" s="92"/>
      <c r="Q58" s="92"/>
      <c r="R58" s="92"/>
      <c r="S58" s="92"/>
      <c r="T58" s="92"/>
      <c r="U58" s="92"/>
      <c r="V58" s="92"/>
    </row>
    <row r="59" ht="15.75" customHeight="1">
      <c r="A59" s="93">
        <v>58.0</v>
      </c>
      <c r="B59" s="74" t="s">
        <v>776</v>
      </c>
      <c r="C59" s="94" t="s">
        <v>777</v>
      </c>
      <c r="D59" s="95" t="s">
        <v>469</v>
      </c>
      <c r="E59" s="95" t="s">
        <v>1013</v>
      </c>
      <c r="F59" s="95" t="s">
        <v>425</v>
      </c>
      <c r="G59" s="95" t="s">
        <v>564</v>
      </c>
      <c r="H59" s="95" t="s">
        <v>20</v>
      </c>
      <c r="I59" s="74" t="s">
        <v>757</v>
      </c>
      <c r="J59" s="95" t="s">
        <v>757</v>
      </c>
      <c r="K59" s="78" t="s">
        <v>778</v>
      </c>
      <c r="L59" s="74">
        <v>6.367187475E9</v>
      </c>
      <c r="M59" s="92"/>
      <c r="N59" s="92"/>
      <c r="O59" s="92"/>
      <c r="P59" s="92"/>
      <c r="Q59" s="92"/>
      <c r="R59" s="92"/>
      <c r="S59" s="92"/>
      <c r="T59" s="92"/>
      <c r="U59" s="92"/>
      <c r="V59" s="92"/>
    </row>
    <row r="60" ht="15.75" customHeight="1">
      <c r="A60" s="93">
        <v>59.0</v>
      </c>
      <c r="B60" s="74" t="s">
        <v>781</v>
      </c>
      <c r="C60" s="94" t="s">
        <v>782</v>
      </c>
      <c r="D60" s="95" t="s">
        <v>513</v>
      </c>
      <c r="E60" s="95" t="s">
        <v>1013</v>
      </c>
      <c r="F60" s="95" t="s">
        <v>425</v>
      </c>
      <c r="G60" s="95" t="s">
        <v>531</v>
      </c>
      <c r="H60" s="95" t="s">
        <v>20</v>
      </c>
      <c r="I60" s="74" t="s">
        <v>757</v>
      </c>
      <c r="J60" s="95" t="s">
        <v>757</v>
      </c>
      <c r="K60" s="78" t="s">
        <v>783</v>
      </c>
      <c r="L60" s="74">
        <v>9.166121796E9</v>
      </c>
      <c r="M60" s="92"/>
      <c r="N60" s="92"/>
      <c r="O60" s="92"/>
      <c r="P60" s="92"/>
      <c r="Q60" s="92"/>
      <c r="R60" s="92"/>
      <c r="S60" s="92"/>
      <c r="T60" s="92"/>
      <c r="U60" s="92"/>
      <c r="V60" s="92"/>
    </row>
    <row r="61" ht="15.75" customHeight="1">
      <c r="A61" s="93">
        <v>60.0</v>
      </c>
      <c r="B61" s="74" t="s">
        <v>467</v>
      </c>
      <c r="C61" s="94" t="s">
        <v>468</v>
      </c>
      <c r="D61" s="95" t="s">
        <v>469</v>
      </c>
      <c r="E61" s="95" t="s">
        <v>50</v>
      </c>
      <c r="F61" s="95" t="s">
        <v>50</v>
      </c>
      <c r="G61" s="95" t="s">
        <v>564</v>
      </c>
      <c r="H61" s="95" t="s">
        <v>20</v>
      </c>
      <c r="I61" s="74" t="s">
        <v>1240</v>
      </c>
      <c r="J61" s="95" t="s">
        <v>1240</v>
      </c>
      <c r="K61" s="78" t="s">
        <v>470</v>
      </c>
      <c r="L61" s="74">
        <v>7.976908642E9</v>
      </c>
      <c r="M61" s="92"/>
      <c r="N61" s="92"/>
      <c r="O61" s="92"/>
      <c r="P61" s="92"/>
      <c r="Q61" s="92"/>
      <c r="R61" s="92"/>
      <c r="S61" s="92"/>
      <c r="T61" s="92"/>
      <c r="U61" s="92"/>
      <c r="V61" s="92"/>
    </row>
    <row r="62" ht="15.75" customHeight="1">
      <c r="A62" s="93">
        <v>61.0</v>
      </c>
      <c r="B62" s="74" t="s">
        <v>1169</v>
      </c>
      <c r="C62" s="94" t="s">
        <v>1170</v>
      </c>
      <c r="D62" s="95" t="s">
        <v>513</v>
      </c>
      <c r="E62" s="95" t="s">
        <v>1013</v>
      </c>
      <c r="F62" s="95" t="s">
        <v>425</v>
      </c>
      <c r="G62" s="95" t="s">
        <v>564</v>
      </c>
      <c r="H62" s="95" t="s">
        <v>20</v>
      </c>
      <c r="I62" s="74"/>
      <c r="J62" s="95" t="s">
        <v>1171</v>
      </c>
      <c r="K62" s="78" t="s">
        <v>1172</v>
      </c>
      <c r="L62" s="74">
        <v>8.005927113E9</v>
      </c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15.75" customHeight="1">
      <c r="A63" s="93">
        <v>62.0</v>
      </c>
      <c r="B63" s="74" t="s">
        <v>1175</v>
      </c>
      <c r="C63" s="94" t="s">
        <v>1176</v>
      </c>
      <c r="D63" s="95" t="s">
        <v>469</v>
      </c>
      <c r="E63" s="95" t="s">
        <v>1013</v>
      </c>
      <c r="F63" s="95" t="s">
        <v>425</v>
      </c>
      <c r="G63" s="95" t="s">
        <v>531</v>
      </c>
      <c r="H63" s="95" t="s">
        <v>20</v>
      </c>
      <c r="I63" s="74"/>
      <c r="J63" s="95" t="s">
        <v>1171</v>
      </c>
      <c r="K63" s="78" t="s">
        <v>1177</v>
      </c>
      <c r="L63" s="74">
        <v>7.023577536E9</v>
      </c>
      <c r="M63" s="92"/>
      <c r="N63" s="92"/>
      <c r="O63" s="92"/>
      <c r="P63" s="92"/>
      <c r="Q63" s="92"/>
      <c r="R63" s="92"/>
      <c r="S63" s="92"/>
      <c r="T63" s="92"/>
      <c r="U63" s="92"/>
      <c r="V63" s="92"/>
    </row>
    <row r="64" ht="15.75" customHeight="1">
      <c r="A64" s="93">
        <v>63.0</v>
      </c>
      <c r="B64" s="74" t="s">
        <v>1073</v>
      </c>
      <c r="C64" s="94" t="s">
        <v>1074</v>
      </c>
      <c r="D64" s="95" t="s">
        <v>513</v>
      </c>
      <c r="E64" s="95" t="s">
        <v>1013</v>
      </c>
      <c r="F64" s="95" t="s">
        <v>425</v>
      </c>
      <c r="G64" s="95" t="s">
        <v>587</v>
      </c>
      <c r="H64" s="95" t="s">
        <v>20</v>
      </c>
      <c r="I64" s="74"/>
      <c r="J64" s="95" t="s">
        <v>1075</v>
      </c>
      <c r="K64" s="78" t="s">
        <v>1076</v>
      </c>
      <c r="L64" s="74">
        <v>9.785629409E9</v>
      </c>
      <c r="M64" s="92"/>
      <c r="N64" s="92"/>
      <c r="O64" s="92"/>
      <c r="P64" s="92"/>
      <c r="Q64" s="92"/>
      <c r="R64" s="92"/>
      <c r="S64" s="92"/>
      <c r="T64" s="92"/>
      <c r="U64" s="92"/>
      <c r="V64" s="92"/>
    </row>
    <row r="65" ht="15.75" customHeight="1">
      <c r="A65" s="93">
        <v>64.0</v>
      </c>
      <c r="B65" s="74" t="s">
        <v>1196</v>
      </c>
      <c r="C65" s="94" t="s">
        <v>1197</v>
      </c>
      <c r="D65" s="95" t="s">
        <v>513</v>
      </c>
      <c r="E65" s="95" t="s">
        <v>1013</v>
      </c>
      <c r="F65" s="95" t="s">
        <v>425</v>
      </c>
      <c r="G65" s="95" t="s">
        <v>587</v>
      </c>
      <c r="H65" s="95" t="s">
        <v>20</v>
      </c>
      <c r="I65" s="74"/>
      <c r="J65" s="95" t="s">
        <v>1198</v>
      </c>
      <c r="K65" s="78" t="s">
        <v>1199</v>
      </c>
      <c r="L65" s="74">
        <v>9.784117842E9</v>
      </c>
      <c r="M65" s="92"/>
      <c r="N65" s="92"/>
      <c r="O65" s="92"/>
      <c r="P65" s="92"/>
      <c r="Q65" s="92"/>
      <c r="R65" s="92"/>
      <c r="S65" s="92"/>
      <c r="T65" s="92"/>
      <c r="U65" s="92"/>
      <c r="V65" s="92"/>
    </row>
    <row r="66" ht="15.75" customHeight="1">
      <c r="A66" s="93">
        <v>65.0</v>
      </c>
      <c r="B66" s="74" t="s">
        <v>1109</v>
      </c>
      <c r="C66" s="94" t="s">
        <v>1110</v>
      </c>
      <c r="D66" s="95" t="s">
        <v>513</v>
      </c>
      <c r="E66" s="95" t="s">
        <v>1013</v>
      </c>
      <c r="F66" s="95" t="s">
        <v>419</v>
      </c>
      <c r="G66" s="95" t="s">
        <v>564</v>
      </c>
      <c r="H66" s="95" t="s">
        <v>20</v>
      </c>
      <c r="I66" s="74"/>
      <c r="J66" s="95" t="s">
        <v>1111</v>
      </c>
      <c r="K66" s="78" t="s">
        <v>1112</v>
      </c>
      <c r="L66" s="74">
        <v>7.73386122E9</v>
      </c>
      <c r="M66" s="92"/>
      <c r="N66" s="92"/>
      <c r="O66" s="92"/>
      <c r="P66" s="92"/>
      <c r="Q66" s="92"/>
      <c r="R66" s="92"/>
      <c r="S66" s="92"/>
      <c r="T66" s="92"/>
      <c r="U66" s="92"/>
      <c r="V66" s="92"/>
    </row>
    <row r="67" ht="15.75" customHeight="1">
      <c r="A67" s="93">
        <v>66.0</v>
      </c>
      <c r="B67" s="74" t="s">
        <v>1184</v>
      </c>
      <c r="C67" s="94" t="s">
        <v>1185</v>
      </c>
      <c r="D67" s="95" t="s">
        <v>513</v>
      </c>
      <c r="E67" s="95" t="s">
        <v>1013</v>
      </c>
      <c r="F67" s="95" t="s">
        <v>419</v>
      </c>
      <c r="G67" s="95" t="s">
        <v>531</v>
      </c>
      <c r="H67" s="95" t="s">
        <v>20</v>
      </c>
      <c r="I67" s="74"/>
      <c r="J67" s="95" t="s">
        <v>1186</v>
      </c>
      <c r="K67" s="78" t="s">
        <v>1187</v>
      </c>
      <c r="L67" s="74">
        <v>8.209462373E9</v>
      </c>
      <c r="M67" s="92"/>
      <c r="N67" s="92"/>
      <c r="O67" s="92"/>
      <c r="P67" s="92"/>
      <c r="Q67" s="92"/>
      <c r="R67" s="92"/>
      <c r="S67" s="92"/>
      <c r="T67" s="92"/>
      <c r="U67" s="92"/>
      <c r="V67" s="92"/>
    </row>
    <row r="68" ht="15.75" customHeight="1">
      <c r="A68" s="93">
        <v>67.0</v>
      </c>
      <c r="B68" s="74" t="s">
        <v>1126</v>
      </c>
      <c r="C68" s="94" t="s">
        <v>1127</v>
      </c>
      <c r="D68" s="95" t="s">
        <v>513</v>
      </c>
      <c r="E68" s="95" t="s">
        <v>1013</v>
      </c>
      <c r="F68" s="95" t="s">
        <v>419</v>
      </c>
      <c r="G68" s="95" t="s">
        <v>531</v>
      </c>
      <c r="H68" s="95" t="s">
        <v>20</v>
      </c>
      <c r="I68" s="74"/>
      <c r="J68" s="95" t="s">
        <v>1128</v>
      </c>
      <c r="K68" s="78" t="s">
        <v>1129</v>
      </c>
      <c r="L68" s="74">
        <v>7.689985615E9</v>
      </c>
      <c r="M68" s="92"/>
      <c r="N68" s="92"/>
      <c r="O68" s="92"/>
      <c r="P68" s="92"/>
      <c r="Q68" s="92"/>
      <c r="R68" s="92"/>
      <c r="S68" s="92"/>
      <c r="T68" s="92"/>
      <c r="U68" s="92"/>
      <c r="V68" s="92"/>
    </row>
    <row r="69" ht="15.75" customHeight="1">
      <c r="A69" s="93">
        <v>68.0</v>
      </c>
      <c r="B69" s="74" t="s">
        <v>1145</v>
      </c>
      <c r="C69" s="94" t="s">
        <v>1146</v>
      </c>
      <c r="D69" s="95" t="s">
        <v>469</v>
      </c>
      <c r="E69" s="95" t="s">
        <v>1013</v>
      </c>
      <c r="F69" s="95" t="s">
        <v>524</v>
      </c>
      <c r="G69" s="95" t="s">
        <v>431</v>
      </c>
      <c r="H69" s="95" t="s">
        <v>20</v>
      </c>
      <c r="I69" s="74"/>
      <c r="J69" s="95" t="s">
        <v>1134</v>
      </c>
      <c r="K69" s="78" t="s">
        <v>1147</v>
      </c>
      <c r="L69" s="74">
        <v>8.829984566E9</v>
      </c>
      <c r="M69" s="92"/>
      <c r="N69" s="92"/>
      <c r="O69" s="92"/>
      <c r="P69" s="92"/>
      <c r="Q69" s="92"/>
      <c r="R69" s="92"/>
      <c r="S69" s="92"/>
      <c r="T69" s="92"/>
      <c r="U69" s="92"/>
      <c r="V69" s="92"/>
    </row>
    <row r="70" ht="15.75" customHeight="1">
      <c r="A70" s="93">
        <v>69.0</v>
      </c>
      <c r="B70" s="74" t="s">
        <v>1132</v>
      </c>
      <c r="C70" s="94" t="s">
        <v>1133</v>
      </c>
      <c r="D70" s="95" t="s">
        <v>513</v>
      </c>
      <c r="E70" s="95" t="s">
        <v>1013</v>
      </c>
      <c r="F70" s="95" t="s">
        <v>524</v>
      </c>
      <c r="G70" s="95" t="s">
        <v>431</v>
      </c>
      <c r="H70" s="95" t="s">
        <v>20</v>
      </c>
      <c r="I70" s="74"/>
      <c r="J70" s="95" t="s">
        <v>1134</v>
      </c>
      <c r="K70" s="78" t="s">
        <v>1135</v>
      </c>
      <c r="L70" s="74">
        <v>8.441079383E9</v>
      </c>
      <c r="M70" s="92"/>
      <c r="N70" s="92"/>
      <c r="O70" s="92"/>
      <c r="P70" s="92"/>
      <c r="Q70" s="92"/>
      <c r="R70" s="92"/>
      <c r="S70" s="92"/>
      <c r="T70" s="92"/>
      <c r="U70" s="92"/>
      <c r="V70" s="92"/>
    </row>
    <row r="71" ht="15.75" customHeight="1">
      <c r="A71" s="93">
        <v>70.0</v>
      </c>
      <c r="B71" s="74" t="s">
        <v>1161</v>
      </c>
      <c r="C71" s="94" t="s">
        <v>1162</v>
      </c>
      <c r="D71" s="95" t="s">
        <v>513</v>
      </c>
      <c r="E71" s="95" t="s">
        <v>37</v>
      </c>
      <c r="F71" s="95" t="s">
        <v>1154</v>
      </c>
      <c r="G71" s="95" t="s">
        <v>564</v>
      </c>
      <c r="H71" s="95" t="s">
        <v>20</v>
      </c>
      <c r="I71" s="74"/>
      <c r="J71" s="95" t="s">
        <v>1241</v>
      </c>
      <c r="K71" s="78" t="s">
        <v>1164</v>
      </c>
      <c r="L71" s="74">
        <v>6.3780077E9</v>
      </c>
      <c r="M71" s="92"/>
      <c r="N71" s="92"/>
      <c r="O71" s="92"/>
      <c r="P71" s="92"/>
      <c r="Q71" s="92"/>
      <c r="R71" s="92"/>
      <c r="S71" s="92"/>
      <c r="T71" s="92"/>
      <c r="U71" s="92"/>
      <c r="V71" s="92"/>
    </row>
    <row r="72" ht="15.75" customHeight="1">
      <c r="A72" s="93">
        <v>71.0</v>
      </c>
      <c r="B72" s="74" t="s">
        <v>1152</v>
      </c>
      <c r="C72" s="94" t="s">
        <v>1153</v>
      </c>
      <c r="D72" s="95" t="s">
        <v>513</v>
      </c>
      <c r="E72" s="95" t="s">
        <v>37</v>
      </c>
      <c r="F72" s="95" t="s">
        <v>1154</v>
      </c>
      <c r="G72" s="95" t="s">
        <v>502</v>
      </c>
      <c r="H72" s="95" t="s">
        <v>20</v>
      </c>
      <c r="I72" s="74"/>
      <c r="J72" s="95" t="s">
        <v>1155</v>
      </c>
      <c r="K72" s="78" t="s">
        <v>1156</v>
      </c>
      <c r="L72" s="74">
        <v>7.737135858E9</v>
      </c>
      <c r="M72" s="92"/>
      <c r="N72" s="92"/>
      <c r="O72" s="92"/>
      <c r="P72" s="92"/>
      <c r="Q72" s="92"/>
      <c r="R72" s="92"/>
      <c r="S72" s="92"/>
      <c r="T72" s="92"/>
      <c r="U72" s="92"/>
      <c r="V72" s="92"/>
    </row>
    <row r="73" ht="15.75" customHeight="1">
      <c r="A73" s="93">
        <v>72.0</v>
      </c>
      <c r="B73" s="74" t="s">
        <v>806</v>
      </c>
      <c r="C73" s="94" t="s">
        <v>807</v>
      </c>
      <c r="D73" s="95" t="s">
        <v>513</v>
      </c>
      <c r="E73" s="95" t="s">
        <v>1013</v>
      </c>
      <c r="F73" s="95" t="s">
        <v>419</v>
      </c>
      <c r="G73" s="95" t="s">
        <v>564</v>
      </c>
      <c r="H73" s="95" t="s">
        <v>20</v>
      </c>
      <c r="I73" s="74" t="s">
        <v>1242</v>
      </c>
      <c r="J73" s="95" t="s">
        <v>1242</v>
      </c>
      <c r="K73" s="78" t="s">
        <v>808</v>
      </c>
      <c r="L73" s="74">
        <v>8.905907116E9</v>
      </c>
      <c r="M73" s="92"/>
      <c r="N73" s="92"/>
      <c r="O73" s="92"/>
      <c r="P73" s="92"/>
      <c r="Q73" s="92"/>
      <c r="R73" s="92"/>
      <c r="S73" s="92"/>
      <c r="T73" s="92"/>
      <c r="U73" s="92"/>
      <c r="V73" s="92"/>
    </row>
    <row r="74" ht="15.75" customHeight="1">
      <c r="A74" s="93">
        <v>73.0</v>
      </c>
      <c r="B74" s="74" t="s">
        <v>949</v>
      </c>
      <c r="C74" s="94" t="s">
        <v>950</v>
      </c>
      <c r="D74" s="95" t="s">
        <v>418</v>
      </c>
      <c r="E74" s="95" t="s">
        <v>1013</v>
      </c>
      <c r="F74" s="95" t="s">
        <v>501</v>
      </c>
      <c r="G74" s="95" t="s">
        <v>502</v>
      </c>
      <c r="H74" s="95" t="s">
        <v>19</v>
      </c>
      <c r="I74" s="74" t="s">
        <v>917</v>
      </c>
      <c r="J74" s="95" t="s">
        <v>917</v>
      </c>
      <c r="K74" s="78" t="s">
        <v>951</v>
      </c>
      <c r="L74" s="74">
        <v>6.375828631E9</v>
      </c>
      <c r="M74" s="92"/>
      <c r="N74" s="92"/>
      <c r="O74" s="92"/>
      <c r="P74" s="92"/>
      <c r="Q74" s="92"/>
      <c r="R74" s="92"/>
      <c r="S74" s="92"/>
      <c r="T74" s="92"/>
      <c r="U74" s="92"/>
      <c r="V74" s="92"/>
    </row>
    <row r="75" ht="15.75" customHeight="1">
      <c r="A75" s="93">
        <v>74.0</v>
      </c>
      <c r="B75" s="74" t="s">
        <v>915</v>
      </c>
      <c r="C75" s="94" t="s">
        <v>916</v>
      </c>
      <c r="D75" s="95" t="s">
        <v>418</v>
      </c>
      <c r="E75" s="95" t="s">
        <v>1013</v>
      </c>
      <c r="F75" s="95" t="s">
        <v>425</v>
      </c>
      <c r="G75" s="95" t="s">
        <v>431</v>
      </c>
      <c r="H75" s="95" t="s">
        <v>18</v>
      </c>
      <c r="I75" s="74" t="s">
        <v>917</v>
      </c>
      <c r="J75" s="95" t="s">
        <v>917</v>
      </c>
      <c r="K75" s="78" t="s">
        <v>918</v>
      </c>
      <c r="L75" s="74">
        <v>8.739972907E9</v>
      </c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93">
        <v>75.0</v>
      </c>
      <c r="B76" s="74" t="s">
        <v>982</v>
      </c>
      <c r="C76" s="94" t="s">
        <v>983</v>
      </c>
      <c r="D76" s="95" t="s">
        <v>430</v>
      </c>
      <c r="E76" s="95" t="s">
        <v>1013</v>
      </c>
      <c r="F76" s="95" t="s">
        <v>425</v>
      </c>
      <c r="G76" s="95" t="s">
        <v>431</v>
      </c>
      <c r="H76" s="95" t="s">
        <v>18</v>
      </c>
      <c r="I76" s="74" t="s">
        <v>917</v>
      </c>
      <c r="J76" s="95" t="s">
        <v>917</v>
      </c>
      <c r="K76" s="78" t="s">
        <v>984</v>
      </c>
      <c r="L76" s="74">
        <v>9.610088704E9</v>
      </c>
      <c r="M76" s="92"/>
      <c r="N76" s="92"/>
      <c r="O76" s="92"/>
      <c r="P76" s="92"/>
      <c r="Q76" s="92"/>
      <c r="R76" s="92"/>
      <c r="S76" s="92"/>
      <c r="T76" s="92"/>
      <c r="U76" s="92"/>
      <c r="V76" s="92"/>
    </row>
    <row r="77" ht="15.75" customHeight="1">
      <c r="A77" s="93">
        <v>76.0</v>
      </c>
      <c r="B77" s="74" t="s">
        <v>1200</v>
      </c>
      <c r="C77" s="94" t="s">
        <v>1201</v>
      </c>
      <c r="D77" s="95" t="s">
        <v>513</v>
      </c>
      <c r="E77" s="95" t="s">
        <v>1013</v>
      </c>
      <c r="F77" s="95" t="s">
        <v>425</v>
      </c>
      <c r="G77" s="95" t="s">
        <v>587</v>
      </c>
      <c r="H77" s="95" t="s">
        <v>20</v>
      </c>
      <c r="I77" s="74"/>
      <c r="J77" s="95" t="s">
        <v>1202</v>
      </c>
      <c r="K77" s="78" t="s">
        <v>1203</v>
      </c>
      <c r="L77" s="74">
        <v>9.694928548E9</v>
      </c>
      <c r="M77" s="92"/>
      <c r="N77" s="92"/>
      <c r="O77" s="92"/>
      <c r="P77" s="92"/>
      <c r="Q77" s="92"/>
      <c r="R77" s="92"/>
      <c r="S77" s="92"/>
      <c r="T77" s="92"/>
      <c r="U77" s="92"/>
      <c r="V77" s="92"/>
    </row>
    <row r="78" ht="15.75" customHeight="1">
      <c r="A78" s="93">
        <v>77.0</v>
      </c>
      <c r="B78" s="74" t="s">
        <v>1148</v>
      </c>
      <c r="C78" s="94" t="s">
        <v>1149</v>
      </c>
      <c r="D78" s="95" t="s">
        <v>513</v>
      </c>
      <c r="E78" s="95" t="s">
        <v>1013</v>
      </c>
      <c r="F78" s="95" t="s">
        <v>419</v>
      </c>
      <c r="G78" s="95" t="s">
        <v>431</v>
      </c>
      <c r="H78" s="95" t="s">
        <v>20</v>
      </c>
      <c r="I78" s="74"/>
      <c r="J78" s="95" t="s">
        <v>1150</v>
      </c>
      <c r="K78" s="78" t="s">
        <v>1151</v>
      </c>
      <c r="L78" s="74">
        <v>7.898335737E9</v>
      </c>
      <c r="M78" s="92"/>
      <c r="N78" s="92"/>
      <c r="O78" s="92"/>
      <c r="P78" s="92"/>
      <c r="Q78" s="92"/>
      <c r="R78" s="92"/>
      <c r="S78" s="92"/>
      <c r="T78" s="92"/>
      <c r="U78" s="92"/>
      <c r="V78" s="92"/>
    </row>
    <row r="79" ht="15.75" customHeight="1">
      <c r="A79" s="93">
        <v>78.0</v>
      </c>
      <c r="B79" s="74" t="s">
        <v>1188</v>
      </c>
      <c r="C79" s="94" t="s">
        <v>1189</v>
      </c>
      <c r="D79" s="95" t="s">
        <v>513</v>
      </c>
      <c r="E79" s="95" t="s">
        <v>50</v>
      </c>
      <c r="F79" s="95" t="s">
        <v>50</v>
      </c>
      <c r="G79" s="95" t="s">
        <v>564</v>
      </c>
      <c r="H79" s="95" t="s">
        <v>20</v>
      </c>
      <c r="I79" s="74"/>
      <c r="J79" s="95" t="s">
        <v>1190</v>
      </c>
      <c r="K79" s="78" t="s">
        <v>1191</v>
      </c>
      <c r="L79" s="74">
        <v>9.792793008E9</v>
      </c>
      <c r="M79" s="92"/>
      <c r="N79" s="92"/>
      <c r="O79" s="92"/>
      <c r="P79" s="92"/>
      <c r="Q79" s="92"/>
      <c r="R79" s="92"/>
      <c r="S79" s="92"/>
      <c r="T79" s="92"/>
      <c r="U79" s="92"/>
      <c r="V79" s="92"/>
    </row>
    <row r="80" ht="15.75" customHeight="1">
      <c r="A80" s="93">
        <v>79.0</v>
      </c>
      <c r="B80" s="74" t="s">
        <v>969</v>
      </c>
      <c r="C80" s="94" t="s">
        <v>970</v>
      </c>
      <c r="D80" s="95" t="s">
        <v>513</v>
      </c>
      <c r="E80" s="95" t="s">
        <v>1013</v>
      </c>
      <c r="F80" s="95" t="s">
        <v>425</v>
      </c>
      <c r="G80" s="95" t="s">
        <v>587</v>
      </c>
      <c r="H80" s="95" t="s">
        <v>20</v>
      </c>
      <c r="I80" s="74" t="s">
        <v>917</v>
      </c>
      <c r="J80" s="95" t="s">
        <v>917</v>
      </c>
      <c r="K80" s="78" t="s">
        <v>971</v>
      </c>
      <c r="L80" s="74">
        <v>7.56879369E9</v>
      </c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15.75" customHeight="1">
      <c r="A81" s="93">
        <v>80.0</v>
      </c>
      <c r="B81" s="74" t="s">
        <v>974</v>
      </c>
      <c r="C81" s="94" t="s">
        <v>975</v>
      </c>
      <c r="D81" s="95" t="s">
        <v>513</v>
      </c>
      <c r="E81" s="95" t="s">
        <v>1013</v>
      </c>
      <c r="F81" s="95" t="s">
        <v>419</v>
      </c>
      <c r="G81" s="95" t="s">
        <v>531</v>
      </c>
      <c r="H81" s="95" t="s">
        <v>20</v>
      </c>
      <c r="I81" s="74" t="s">
        <v>917</v>
      </c>
      <c r="J81" s="95" t="s">
        <v>917</v>
      </c>
      <c r="K81" s="78" t="s">
        <v>976</v>
      </c>
      <c r="L81" s="74">
        <v>7.874274631E9</v>
      </c>
      <c r="M81" s="92"/>
      <c r="N81" s="92"/>
      <c r="O81" s="92"/>
      <c r="P81" s="92"/>
      <c r="Q81" s="92"/>
      <c r="R81" s="92"/>
      <c r="S81" s="92"/>
      <c r="T81" s="92"/>
      <c r="U81" s="92"/>
      <c r="V81" s="92"/>
    </row>
    <row r="82" ht="15.75" customHeight="1">
      <c r="A82" s="93">
        <v>81.0</v>
      </c>
      <c r="B82" s="74" t="s">
        <v>909</v>
      </c>
      <c r="C82" s="94" t="s">
        <v>910</v>
      </c>
      <c r="D82" s="95" t="s">
        <v>418</v>
      </c>
      <c r="E82" s="95" t="s">
        <v>1013</v>
      </c>
      <c r="F82" s="95" t="s">
        <v>425</v>
      </c>
      <c r="G82" s="95" t="s">
        <v>564</v>
      </c>
      <c r="H82" s="95" t="s">
        <v>18</v>
      </c>
      <c r="I82" s="74" t="s">
        <v>911</v>
      </c>
      <c r="J82" s="95" t="s">
        <v>911</v>
      </c>
      <c r="K82" s="78" t="s">
        <v>912</v>
      </c>
      <c r="L82" s="74">
        <v>9.414696844E9</v>
      </c>
      <c r="M82" s="92"/>
      <c r="N82" s="92"/>
      <c r="O82" s="92"/>
      <c r="P82" s="92"/>
      <c r="Q82" s="92"/>
      <c r="R82" s="92"/>
      <c r="S82" s="92"/>
      <c r="T82" s="92"/>
      <c r="U82" s="92"/>
      <c r="V82" s="92"/>
    </row>
    <row r="83" ht="15.75" customHeight="1">
      <c r="A83" s="93">
        <v>82.0</v>
      </c>
      <c r="B83" s="74" t="s">
        <v>993</v>
      </c>
      <c r="C83" s="94" t="s">
        <v>994</v>
      </c>
      <c r="D83" s="95" t="s">
        <v>418</v>
      </c>
      <c r="E83" s="95" t="s">
        <v>1013</v>
      </c>
      <c r="F83" s="95" t="s">
        <v>425</v>
      </c>
      <c r="G83" s="95" t="s">
        <v>564</v>
      </c>
      <c r="H83" s="95" t="s">
        <v>19</v>
      </c>
      <c r="I83" s="74" t="s">
        <v>989</v>
      </c>
      <c r="J83" s="95" t="s">
        <v>989</v>
      </c>
      <c r="K83" s="78" t="s">
        <v>995</v>
      </c>
      <c r="L83" s="74">
        <v>6.376325349E9</v>
      </c>
      <c r="M83" s="92"/>
      <c r="N83" s="92"/>
      <c r="O83" s="92"/>
      <c r="P83" s="92"/>
      <c r="Q83" s="92"/>
      <c r="R83" s="92"/>
      <c r="S83" s="92"/>
      <c r="T83" s="92"/>
      <c r="U83" s="92"/>
      <c r="V83" s="92"/>
    </row>
    <row r="84" ht="15.75" customHeight="1">
      <c r="A84" s="93">
        <v>83.0</v>
      </c>
      <c r="B84" s="74" t="s">
        <v>998</v>
      </c>
      <c r="C84" s="94" t="s">
        <v>999</v>
      </c>
      <c r="D84" s="95" t="s">
        <v>418</v>
      </c>
      <c r="E84" s="95" t="s">
        <v>1013</v>
      </c>
      <c r="F84" s="95" t="s">
        <v>425</v>
      </c>
      <c r="G84" s="95" t="s">
        <v>564</v>
      </c>
      <c r="H84" s="95" t="s">
        <v>19</v>
      </c>
      <c r="I84" s="74" t="s">
        <v>989</v>
      </c>
      <c r="J84" s="95" t="s">
        <v>989</v>
      </c>
      <c r="K84" s="78" t="s">
        <v>1000</v>
      </c>
      <c r="L84" s="74">
        <v>9.351754044E9</v>
      </c>
      <c r="M84" s="92"/>
      <c r="N84" s="92"/>
      <c r="O84" s="92"/>
      <c r="P84" s="92"/>
      <c r="Q84" s="92"/>
      <c r="R84" s="92"/>
      <c r="S84" s="92"/>
      <c r="T84" s="92"/>
      <c r="U84" s="92"/>
      <c r="V84" s="92"/>
    </row>
    <row r="85" ht="15.75" customHeight="1">
      <c r="A85" s="93">
        <v>84.0</v>
      </c>
      <c r="B85" s="74" t="s">
        <v>924</v>
      </c>
      <c r="C85" s="94" t="s">
        <v>925</v>
      </c>
      <c r="D85" s="95" t="s">
        <v>418</v>
      </c>
      <c r="E85" s="95" t="s">
        <v>1013</v>
      </c>
      <c r="F85" s="95" t="s">
        <v>425</v>
      </c>
      <c r="G85" s="95" t="s">
        <v>531</v>
      </c>
      <c r="H85" s="95" t="s">
        <v>18</v>
      </c>
      <c r="I85" s="74" t="s">
        <v>917</v>
      </c>
      <c r="J85" s="95" t="s">
        <v>917</v>
      </c>
      <c r="K85" s="78" t="s">
        <v>926</v>
      </c>
      <c r="L85" s="74">
        <v>8.52979473E9</v>
      </c>
      <c r="M85" s="92"/>
      <c r="N85" s="92"/>
      <c r="O85" s="92"/>
      <c r="P85" s="92"/>
      <c r="Q85" s="92"/>
      <c r="R85" s="92"/>
      <c r="S85" s="92"/>
      <c r="T85" s="92"/>
      <c r="U85" s="92"/>
      <c r="V85" s="92"/>
    </row>
    <row r="86" ht="15.75" customHeight="1">
      <c r="A86" s="93">
        <v>85.0</v>
      </c>
      <c r="B86" s="74" t="s">
        <v>929</v>
      </c>
      <c r="C86" s="94" t="s">
        <v>930</v>
      </c>
      <c r="D86" s="95" t="s">
        <v>430</v>
      </c>
      <c r="E86" s="95" t="s">
        <v>1013</v>
      </c>
      <c r="F86" s="95" t="s">
        <v>464</v>
      </c>
      <c r="G86" s="95" t="s">
        <v>431</v>
      </c>
      <c r="H86" s="95" t="s">
        <v>18</v>
      </c>
      <c r="I86" s="74" t="s">
        <v>917</v>
      </c>
      <c r="J86" s="95" t="s">
        <v>917</v>
      </c>
      <c r="K86" s="78" t="s">
        <v>931</v>
      </c>
      <c r="L86" s="74">
        <v>6.3674037E9</v>
      </c>
      <c r="M86" s="92"/>
      <c r="N86" s="92"/>
      <c r="O86" s="92"/>
      <c r="P86" s="92"/>
      <c r="Q86" s="92"/>
      <c r="R86" s="92"/>
      <c r="S86" s="92"/>
      <c r="T86" s="92"/>
      <c r="U86" s="92"/>
      <c r="V86" s="92"/>
    </row>
    <row r="87" ht="15.75" customHeight="1">
      <c r="A87" s="96"/>
      <c r="B87" s="96"/>
      <c r="C87" s="97"/>
      <c r="D87" s="96"/>
      <c r="E87" s="96"/>
      <c r="F87" s="96"/>
      <c r="G87" s="96"/>
      <c r="H87" s="96"/>
      <c r="I87" s="96"/>
      <c r="J87" s="96"/>
      <c r="K87" s="96"/>
      <c r="L87" s="96"/>
      <c r="M87" s="92"/>
      <c r="N87" s="92"/>
      <c r="O87" s="92"/>
      <c r="P87" s="92"/>
      <c r="Q87" s="92"/>
      <c r="R87" s="92"/>
      <c r="S87" s="92"/>
      <c r="T87" s="92"/>
      <c r="U87" s="92"/>
      <c r="V87" s="92"/>
    </row>
    <row r="88" ht="15.75" customHeight="1">
      <c r="A88" s="96"/>
      <c r="B88" s="96"/>
      <c r="C88" s="97"/>
      <c r="D88" s="96"/>
      <c r="E88" s="96"/>
      <c r="F88" s="96"/>
      <c r="G88" s="96"/>
      <c r="H88" s="96"/>
      <c r="I88" s="96"/>
      <c r="J88" s="96"/>
      <c r="K88" s="96"/>
      <c r="L88" s="96"/>
      <c r="M88" s="92"/>
      <c r="N88" s="92"/>
      <c r="O88" s="92"/>
      <c r="P88" s="92"/>
      <c r="Q88" s="92"/>
      <c r="R88" s="92"/>
      <c r="S88" s="92"/>
      <c r="T88" s="92"/>
      <c r="U88" s="92"/>
      <c r="V88" s="92"/>
    </row>
    <row r="89" ht="15.75" customHeight="1">
      <c r="A89" s="96"/>
      <c r="B89" s="96"/>
      <c r="C89" s="97"/>
      <c r="D89" s="96"/>
      <c r="E89" s="96"/>
      <c r="F89" s="96"/>
      <c r="G89" s="96"/>
      <c r="H89" s="96"/>
      <c r="I89" s="96"/>
      <c r="J89" s="96"/>
      <c r="K89" s="96"/>
      <c r="L89" s="96"/>
      <c r="M89" s="92"/>
      <c r="N89" s="92"/>
      <c r="O89" s="92"/>
      <c r="P89" s="92"/>
      <c r="Q89" s="92"/>
      <c r="R89" s="92"/>
      <c r="S89" s="92"/>
      <c r="T89" s="92"/>
      <c r="U89" s="92"/>
      <c r="V89" s="92"/>
    </row>
    <row r="90" ht="15.75" customHeight="1">
      <c r="A90" s="96"/>
      <c r="B90" s="96"/>
      <c r="C90" s="97"/>
      <c r="D90" s="96"/>
      <c r="E90" s="96"/>
      <c r="F90" s="96"/>
      <c r="G90" s="96"/>
      <c r="H90" s="96"/>
      <c r="I90" s="96"/>
      <c r="J90" s="96"/>
      <c r="K90" s="96"/>
      <c r="L90" s="96"/>
      <c r="M90" s="92"/>
      <c r="N90" s="92"/>
      <c r="O90" s="92"/>
      <c r="P90" s="92"/>
      <c r="Q90" s="92"/>
      <c r="R90" s="92"/>
      <c r="S90" s="92"/>
      <c r="T90" s="92"/>
      <c r="U90" s="92"/>
      <c r="V90" s="92"/>
    </row>
    <row r="91" ht="15.75" customHeight="1">
      <c r="A91" s="96"/>
      <c r="B91" s="96"/>
      <c r="C91" s="97"/>
      <c r="D91" s="96"/>
      <c r="E91" s="96"/>
      <c r="F91" s="96"/>
      <c r="G91" s="96"/>
      <c r="H91" s="96"/>
      <c r="I91" s="96"/>
      <c r="J91" s="96"/>
      <c r="K91" s="96"/>
      <c r="L91" s="96"/>
      <c r="M91" s="92"/>
      <c r="N91" s="92"/>
      <c r="O91" s="92"/>
      <c r="P91" s="92"/>
      <c r="Q91" s="92"/>
      <c r="R91" s="92"/>
      <c r="S91" s="92"/>
      <c r="T91" s="92"/>
      <c r="U91" s="92"/>
      <c r="V91" s="92"/>
    </row>
    <row r="92" ht="15.75" customHeight="1">
      <c r="A92" s="96"/>
      <c r="B92" s="96"/>
      <c r="C92" s="97"/>
      <c r="D92" s="96"/>
      <c r="E92" s="96"/>
      <c r="F92" s="96"/>
      <c r="G92" s="96"/>
      <c r="H92" s="96"/>
      <c r="I92" s="96"/>
      <c r="J92" s="96"/>
      <c r="K92" s="96"/>
      <c r="L92" s="96"/>
      <c r="M92" s="92"/>
      <c r="N92" s="92"/>
      <c r="O92" s="92"/>
      <c r="P92" s="92"/>
      <c r="Q92" s="92"/>
      <c r="R92" s="92"/>
      <c r="S92" s="92"/>
      <c r="T92" s="92"/>
      <c r="U92" s="92"/>
      <c r="V92" s="92"/>
    </row>
    <row r="93" ht="15.75" customHeight="1">
      <c r="A93" s="96"/>
      <c r="B93" s="96"/>
      <c r="C93" s="97"/>
      <c r="D93" s="96"/>
      <c r="E93" s="96"/>
      <c r="F93" s="96"/>
      <c r="G93" s="96"/>
      <c r="H93" s="96"/>
      <c r="I93" s="96"/>
      <c r="J93" s="96"/>
      <c r="K93" s="96"/>
      <c r="L93" s="96"/>
      <c r="M93" s="92"/>
      <c r="N93" s="92"/>
      <c r="O93" s="92"/>
      <c r="P93" s="92"/>
      <c r="Q93" s="92"/>
      <c r="R93" s="92"/>
      <c r="S93" s="92"/>
      <c r="T93" s="92"/>
      <c r="U93" s="92"/>
      <c r="V93" s="92"/>
    </row>
    <row r="94" ht="15.75" customHeight="1">
      <c r="A94" s="96"/>
      <c r="B94" s="96"/>
      <c r="C94" s="97"/>
      <c r="D94" s="96"/>
      <c r="E94" s="96"/>
      <c r="F94" s="96"/>
      <c r="G94" s="96"/>
      <c r="H94" s="96"/>
      <c r="I94" s="96"/>
      <c r="J94" s="96"/>
      <c r="K94" s="96"/>
      <c r="L94" s="96"/>
      <c r="M94" s="92"/>
      <c r="N94" s="92"/>
      <c r="O94" s="92"/>
      <c r="P94" s="92"/>
      <c r="Q94" s="92"/>
      <c r="R94" s="92"/>
      <c r="S94" s="92"/>
      <c r="T94" s="92"/>
      <c r="U94" s="92"/>
      <c r="V94" s="92"/>
    </row>
    <row r="95" ht="15.75" customHeight="1">
      <c r="A95" s="96"/>
      <c r="B95" s="96"/>
      <c r="C95" s="97"/>
      <c r="D95" s="96"/>
      <c r="E95" s="96"/>
      <c r="F95" s="96"/>
      <c r="G95" s="96"/>
      <c r="H95" s="96"/>
      <c r="I95" s="96"/>
      <c r="J95" s="96"/>
      <c r="K95" s="96"/>
      <c r="L95" s="96"/>
      <c r="M95" s="92"/>
      <c r="N95" s="92"/>
      <c r="O95" s="92"/>
      <c r="P95" s="92"/>
      <c r="Q95" s="92"/>
      <c r="R95" s="92"/>
      <c r="S95" s="92"/>
      <c r="T95" s="92"/>
      <c r="U95" s="92"/>
      <c r="V95" s="92"/>
    </row>
    <row r="96" ht="15.75" customHeight="1">
      <c r="A96" s="96"/>
      <c r="B96" s="96"/>
      <c r="C96" s="97"/>
      <c r="D96" s="96"/>
      <c r="E96" s="96"/>
      <c r="F96" s="96"/>
      <c r="G96" s="96"/>
      <c r="H96" s="96"/>
      <c r="I96" s="96"/>
      <c r="J96" s="96"/>
      <c r="K96" s="96"/>
      <c r="L96" s="96"/>
      <c r="M96" s="92"/>
      <c r="N96" s="92"/>
      <c r="O96" s="92"/>
      <c r="P96" s="92"/>
      <c r="Q96" s="92"/>
      <c r="R96" s="92"/>
      <c r="S96" s="92"/>
      <c r="T96" s="92"/>
      <c r="U96" s="92"/>
      <c r="V96" s="92"/>
    </row>
    <row r="97" ht="15.75" customHeight="1">
      <c r="A97" s="96"/>
      <c r="B97" s="96"/>
      <c r="C97" s="97"/>
      <c r="D97" s="96"/>
      <c r="E97" s="96"/>
      <c r="F97" s="96"/>
      <c r="G97" s="96"/>
      <c r="H97" s="96"/>
      <c r="I97" s="96"/>
      <c r="J97" s="96"/>
      <c r="K97" s="96"/>
      <c r="L97" s="96"/>
      <c r="M97" s="92"/>
      <c r="N97" s="92"/>
      <c r="O97" s="92"/>
      <c r="P97" s="92"/>
      <c r="Q97" s="92"/>
      <c r="R97" s="92"/>
      <c r="S97" s="92"/>
      <c r="T97" s="92"/>
      <c r="U97" s="92"/>
      <c r="V97" s="92"/>
    </row>
    <row r="98" ht="15.75" customHeight="1">
      <c r="A98" s="96"/>
      <c r="B98" s="96"/>
      <c r="C98" s="97"/>
      <c r="D98" s="96"/>
      <c r="E98" s="96"/>
      <c r="F98" s="96"/>
      <c r="G98" s="96"/>
      <c r="H98" s="96"/>
      <c r="I98" s="96"/>
      <c r="J98" s="96"/>
      <c r="K98" s="96"/>
      <c r="L98" s="96"/>
      <c r="M98" s="92"/>
      <c r="N98" s="92"/>
      <c r="O98" s="92"/>
      <c r="P98" s="92"/>
      <c r="Q98" s="92"/>
      <c r="R98" s="92"/>
      <c r="S98" s="92"/>
      <c r="T98" s="92"/>
      <c r="U98" s="92"/>
      <c r="V98" s="92"/>
    </row>
    <row r="99" ht="15.75" customHeight="1">
      <c r="A99" s="96"/>
      <c r="B99" s="96"/>
      <c r="C99" s="97"/>
      <c r="D99" s="96"/>
      <c r="E99" s="96"/>
      <c r="F99" s="96"/>
      <c r="G99" s="96"/>
      <c r="H99" s="96"/>
      <c r="I99" s="96"/>
      <c r="J99" s="96"/>
      <c r="K99" s="96"/>
      <c r="L99" s="96"/>
      <c r="M99" s="92"/>
      <c r="N99" s="92"/>
      <c r="O99" s="92"/>
      <c r="P99" s="92"/>
      <c r="Q99" s="92"/>
      <c r="R99" s="92"/>
      <c r="S99" s="92"/>
      <c r="T99" s="92"/>
      <c r="U99" s="92"/>
      <c r="V99" s="92"/>
    </row>
    <row r="100" ht="15.75" customHeight="1">
      <c r="A100" s="96"/>
      <c r="B100" s="96"/>
      <c r="C100" s="97"/>
      <c r="D100" s="96"/>
      <c r="E100" s="96"/>
      <c r="F100" s="96"/>
      <c r="G100" s="96"/>
      <c r="H100" s="96"/>
      <c r="I100" s="96"/>
      <c r="J100" s="96"/>
      <c r="K100" s="96"/>
      <c r="L100" s="96"/>
      <c r="M100" s="92"/>
      <c r="N100" s="92"/>
      <c r="O100" s="92"/>
      <c r="P100" s="92"/>
      <c r="Q100" s="92"/>
      <c r="R100" s="92"/>
      <c r="S100" s="92"/>
      <c r="T100" s="92"/>
      <c r="U100" s="92"/>
      <c r="V100" s="92"/>
    </row>
    <row r="101" ht="15.75" customHeight="1">
      <c r="A101" s="96"/>
      <c r="B101" s="96"/>
      <c r="C101" s="97"/>
      <c r="D101" s="96"/>
      <c r="E101" s="96"/>
      <c r="F101" s="96"/>
      <c r="G101" s="96"/>
      <c r="H101" s="96"/>
      <c r="I101" s="96"/>
      <c r="J101" s="96"/>
      <c r="K101" s="96"/>
      <c r="L101" s="96"/>
      <c r="M101" s="92"/>
      <c r="N101" s="92"/>
      <c r="O101" s="92"/>
      <c r="P101" s="92"/>
      <c r="Q101" s="92"/>
      <c r="R101" s="92"/>
      <c r="S101" s="92"/>
      <c r="T101" s="92"/>
      <c r="U101" s="92"/>
      <c r="V101" s="92"/>
    </row>
    <row r="102" ht="15.75" customHeight="1">
      <c r="A102" s="96"/>
      <c r="B102" s="96"/>
      <c r="C102" s="97"/>
      <c r="D102" s="96"/>
      <c r="E102" s="96"/>
      <c r="F102" s="96"/>
      <c r="G102" s="96"/>
      <c r="H102" s="96"/>
      <c r="I102" s="96"/>
      <c r="J102" s="96"/>
      <c r="K102" s="96"/>
      <c r="L102" s="96"/>
      <c r="M102" s="92"/>
      <c r="N102" s="92"/>
      <c r="O102" s="92"/>
      <c r="P102" s="92"/>
      <c r="Q102" s="92"/>
      <c r="R102" s="92"/>
      <c r="S102" s="92"/>
      <c r="T102" s="92"/>
      <c r="U102" s="92"/>
      <c r="V102" s="92"/>
    </row>
    <row r="103" ht="15.75" customHeight="1">
      <c r="A103" s="96"/>
      <c r="B103" s="96"/>
      <c r="C103" s="97"/>
      <c r="D103" s="96"/>
      <c r="E103" s="96"/>
      <c r="F103" s="96"/>
      <c r="G103" s="96"/>
      <c r="H103" s="96"/>
      <c r="I103" s="96"/>
      <c r="J103" s="96"/>
      <c r="K103" s="96"/>
      <c r="L103" s="96"/>
      <c r="M103" s="92"/>
      <c r="N103" s="92"/>
      <c r="O103" s="92"/>
      <c r="P103" s="92"/>
      <c r="Q103" s="92"/>
      <c r="R103" s="92"/>
      <c r="S103" s="92"/>
      <c r="T103" s="92"/>
      <c r="U103" s="92"/>
      <c r="V103" s="92"/>
    </row>
    <row r="104" ht="15.75" customHeight="1">
      <c r="A104" s="96"/>
      <c r="B104" s="96"/>
      <c r="C104" s="97"/>
      <c r="D104" s="96"/>
      <c r="E104" s="96"/>
      <c r="F104" s="96"/>
      <c r="G104" s="96"/>
      <c r="H104" s="96"/>
      <c r="I104" s="96"/>
      <c r="J104" s="96"/>
      <c r="K104" s="96"/>
      <c r="L104" s="96"/>
      <c r="M104" s="92"/>
      <c r="N104" s="92"/>
      <c r="O104" s="92"/>
      <c r="P104" s="92"/>
      <c r="Q104" s="92"/>
      <c r="R104" s="92"/>
      <c r="S104" s="92"/>
      <c r="T104" s="92"/>
      <c r="U104" s="92"/>
      <c r="V104" s="92"/>
    </row>
    <row r="105" ht="15.75" customHeight="1">
      <c r="A105" s="96"/>
      <c r="B105" s="96"/>
      <c r="C105" s="97"/>
      <c r="D105" s="96"/>
      <c r="E105" s="96"/>
      <c r="F105" s="96"/>
      <c r="G105" s="96"/>
      <c r="H105" s="96"/>
      <c r="I105" s="96"/>
      <c r="J105" s="96"/>
      <c r="K105" s="96"/>
      <c r="L105" s="96"/>
      <c r="M105" s="92"/>
      <c r="N105" s="92"/>
      <c r="O105" s="92"/>
      <c r="P105" s="92"/>
      <c r="Q105" s="92"/>
      <c r="R105" s="92"/>
      <c r="S105" s="92"/>
      <c r="T105" s="92"/>
      <c r="U105" s="92"/>
      <c r="V105" s="92"/>
    </row>
    <row r="106" ht="15.75" customHeight="1">
      <c r="A106" s="96"/>
      <c r="B106" s="96"/>
      <c r="C106" s="97"/>
      <c r="D106" s="96"/>
      <c r="E106" s="96"/>
      <c r="F106" s="96"/>
      <c r="G106" s="96"/>
      <c r="H106" s="96"/>
      <c r="I106" s="96"/>
      <c r="J106" s="96"/>
      <c r="K106" s="96"/>
      <c r="L106" s="96"/>
      <c r="M106" s="92"/>
      <c r="N106" s="92"/>
      <c r="O106" s="92"/>
      <c r="P106" s="92"/>
      <c r="Q106" s="92"/>
      <c r="R106" s="92"/>
      <c r="S106" s="92"/>
      <c r="T106" s="92"/>
      <c r="U106" s="92"/>
      <c r="V106" s="92"/>
    </row>
    <row r="107" ht="15.75" customHeight="1">
      <c r="A107" s="96"/>
      <c r="B107" s="96"/>
      <c r="C107" s="97"/>
      <c r="D107" s="96"/>
      <c r="E107" s="96"/>
      <c r="F107" s="96"/>
      <c r="G107" s="96"/>
      <c r="H107" s="96"/>
      <c r="I107" s="96"/>
      <c r="J107" s="96"/>
      <c r="K107" s="96"/>
      <c r="L107" s="96"/>
      <c r="M107" s="92"/>
      <c r="N107" s="92"/>
      <c r="O107" s="92"/>
      <c r="P107" s="92"/>
      <c r="Q107" s="92"/>
      <c r="R107" s="92"/>
      <c r="S107" s="92"/>
      <c r="T107" s="92"/>
      <c r="U107" s="92"/>
      <c r="V107" s="92"/>
    </row>
    <row r="108" ht="15.75" customHeight="1">
      <c r="A108" s="96"/>
      <c r="B108" s="96"/>
      <c r="C108" s="97"/>
      <c r="D108" s="96"/>
      <c r="E108" s="96"/>
      <c r="F108" s="96"/>
      <c r="G108" s="96"/>
      <c r="H108" s="96"/>
      <c r="I108" s="96"/>
      <c r="J108" s="96"/>
      <c r="K108" s="96"/>
      <c r="L108" s="96"/>
      <c r="M108" s="92"/>
      <c r="N108" s="92"/>
      <c r="O108" s="92"/>
      <c r="P108" s="92"/>
      <c r="Q108" s="92"/>
      <c r="R108" s="92"/>
      <c r="S108" s="92"/>
      <c r="T108" s="92"/>
      <c r="U108" s="92"/>
      <c r="V108" s="92"/>
    </row>
    <row r="109" ht="15.75" customHeight="1">
      <c r="A109" s="96"/>
      <c r="B109" s="96"/>
      <c r="C109" s="97"/>
      <c r="D109" s="96"/>
      <c r="E109" s="96"/>
      <c r="F109" s="96"/>
      <c r="G109" s="96"/>
      <c r="H109" s="96"/>
      <c r="I109" s="96"/>
      <c r="J109" s="96"/>
      <c r="K109" s="96"/>
      <c r="L109" s="96"/>
      <c r="M109" s="92"/>
      <c r="N109" s="92"/>
      <c r="O109" s="92"/>
      <c r="P109" s="92"/>
      <c r="Q109" s="92"/>
      <c r="R109" s="92"/>
      <c r="S109" s="92"/>
      <c r="T109" s="92"/>
      <c r="U109" s="92"/>
      <c r="V109" s="92"/>
    </row>
    <row r="110" ht="15.75" customHeight="1">
      <c r="A110" s="96"/>
      <c r="B110" s="96"/>
      <c r="C110" s="97"/>
      <c r="D110" s="96"/>
      <c r="E110" s="96"/>
      <c r="F110" s="96"/>
      <c r="G110" s="96"/>
      <c r="H110" s="96"/>
      <c r="I110" s="96"/>
      <c r="J110" s="96"/>
      <c r="K110" s="96"/>
      <c r="L110" s="96"/>
      <c r="M110" s="92"/>
      <c r="N110" s="92"/>
      <c r="O110" s="92"/>
      <c r="P110" s="92"/>
      <c r="Q110" s="92"/>
      <c r="R110" s="92"/>
      <c r="S110" s="92"/>
      <c r="T110" s="92"/>
      <c r="U110" s="92"/>
      <c r="V110" s="92"/>
    </row>
    <row r="111" ht="15.75" customHeight="1">
      <c r="A111" s="96"/>
      <c r="B111" s="96"/>
      <c r="C111" s="97"/>
      <c r="D111" s="96"/>
      <c r="E111" s="96"/>
      <c r="F111" s="96"/>
      <c r="G111" s="96"/>
      <c r="H111" s="96"/>
      <c r="I111" s="96"/>
      <c r="J111" s="96"/>
      <c r="K111" s="96"/>
      <c r="L111" s="96"/>
      <c r="M111" s="92"/>
      <c r="N111" s="92"/>
      <c r="O111" s="92"/>
      <c r="P111" s="92"/>
      <c r="Q111" s="92"/>
      <c r="R111" s="92"/>
      <c r="S111" s="92"/>
      <c r="T111" s="92"/>
      <c r="U111" s="92"/>
      <c r="V111" s="92"/>
    </row>
    <row r="112" ht="15.75" customHeight="1">
      <c r="A112" s="96"/>
      <c r="B112" s="96"/>
      <c r="C112" s="97"/>
      <c r="D112" s="96"/>
      <c r="E112" s="96"/>
      <c r="F112" s="96"/>
      <c r="G112" s="96"/>
      <c r="H112" s="96"/>
      <c r="I112" s="96"/>
      <c r="J112" s="96"/>
      <c r="K112" s="96"/>
      <c r="L112" s="96"/>
      <c r="M112" s="92"/>
      <c r="N112" s="92"/>
      <c r="O112" s="92"/>
      <c r="P112" s="92"/>
      <c r="Q112" s="92"/>
      <c r="R112" s="92"/>
      <c r="S112" s="92"/>
      <c r="T112" s="92"/>
      <c r="U112" s="92"/>
      <c r="V112" s="92"/>
    </row>
    <row r="113" ht="15.75" customHeight="1">
      <c r="A113" s="96"/>
      <c r="B113" s="96"/>
      <c r="C113" s="97"/>
      <c r="D113" s="96"/>
      <c r="E113" s="96"/>
      <c r="F113" s="96"/>
      <c r="G113" s="96"/>
      <c r="H113" s="96"/>
      <c r="I113" s="96"/>
      <c r="J113" s="96"/>
      <c r="K113" s="96"/>
      <c r="L113" s="96"/>
      <c r="M113" s="92"/>
      <c r="N113" s="92"/>
      <c r="O113" s="92"/>
      <c r="P113" s="92"/>
      <c r="Q113" s="92"/>
      <c r="R113" s="92"/>
      <c r="S113" s="92"/>
      <c r="T113" s="92"/>
      <c r="U113" s="92"/>
      <c r="V113" s="92"/>
    </row>
    <row r="114" ht="15.75" customHeight="1">
      <c r="A114" s="96"/>
      <c r="B114" s="96"/>
      <c r="C114" s="97"/>
      <c r="D114" s="96"/>
      <c r="E114" s="96"/>
      <c r="F114" s="96"/>
      <c r="G114" s="96"/>
      <c r="H114" s="96"/>
      <c r="I114" s="96"/>
      <c r="J114" s="96"/>
      <c r="K114" s="96"/>
      <c r="L114" s="96"/>
      <c r="M114" s="92"/>
      <c r="N114" s="92"/>
      <c r="O114" s="92"/>
      <c r="P114" s="92"/>
      <c r="Q114" s="92"/>
      <c r="R114" s="92"/>
      <c r="S114" s="92"/>
      <c r="T114" s="92"/>
      <c r="U114" s="92"/>
      <c r="V114" s="92"/>
    </row>
    <row r="115" ht="15.75" customHeight="1">
      <c r="A115" s="96"/>
      <c r="B115" s="96"/>
      <c r="C115" s="97"/>
      <c r="D115" s="96"/>
      <c r="E115" s="96"/>
      <c r="F115" s="96"/>
      <c r="G115" s="96"/>
      <c r="H115" s="96"/>
      <c r="I115" s="96"/>
      <c r="J115" s="96"/>
      <c r="K115" s="96"/>
      <c r="L115" s="96"/>
      <c r="M115" s="92"/>
      <c r="N115" s="92"/>
      <c r="O115" s="92"/>
      <c r="P115" s="92"/>
      <c r="Q115" s="92"/>
      <c r="R115" s="92"/>
      <c r="S115" s="92"/>
      <c r="T115" s="92"/>
      <c r="U115" s="92"/>
      <c r="V115" s="92"/>
    </row>
    <row r="116" ht="15.75" customHeight="1">
      <c r="A116" s="96"/>
      <c r="B116" s="96"/>
      <c r="C116" s="97"/>
      <c r="D116" s="96"/>
      <c r="E116" s="96"/>
      <c r="F116" s="96"/>
      <c r="G116" s="96"/>
      <c r="H116" s="96"/>
      <c r="I116" s="96"/>
      <c r="J116" s="96"/>
      <c r="K116" s="96"/>
      <c r="L116" s="96"/>
      <c r="M116" s="92"/>
      <c r="N116" s="92"/>
      <c r="O116" s="92"/>
      <c r="P116" s="92"/>
      <c r="Q116" s="92"/>
      <c r="R116" s="92"/>
      <c r="S116" s="92"/>
      <c r="T116" s="92"/>
      <c r="U116" s="92"/>
      <c r="V116" s="92"/>
    </row>
    <row r="117" ht="15.75" customHeight="1">
      <c r="A117" s="96"/>
      <c r="B117" s="96"/>
      <c r="C117" s="97"/>
      <c r="D117" s="96"/>
      <c r="E117" s="96"/>
      <c r="F117" s="96"/>
      <c r="G117" s="96"/>
      <c r="H117" s="96"/>
      <c r="I117" s="96"/>
      <c r="J117" s="96"/>
      <c r="K117" s="96"/>
      <c r="L117" s="96"/>
      <c r="M117" s="92"/>
      <c r="N117" s="92"/>
      <c r="O117" s="92"/>
      <c r="P117" s="92"/>
      <c r="Q117" s="92"/>
      <c r="R117" s="92"/>
      <c r="S117" s="92"/>
      <c r="T117" s="92"/>
      <c r="U117" s="92"/>
      <c r="V117" s="92"/>
    </row>
    <row r="118" ht="15.75" customHeight="1">
      <c r="A118" s="96"/>
      <c r="B118" s="96"/>
      <c r="C118" s="97"/>
      <c r="D118" s="96"/>
      <c r="E118" s="96"/>
      <c r="F118" s="96"/>
      <c r="G118" s="96"/>
      <c r="H118" s="96"/>
      <c r="I118" s="96"/>
      <c r="J118" s="96"/>
      <c r="K118" s="96"/>
      <c r="L118" s="96"/>
      <c r="M118" s="92"/>
      <c r="N118" s="92"/>
      <c r="O118" s="92"/>
      <c r="P118" s="92"/>
      <c r="Q118" s="92"/>
      <c r="R118" s="92"/>
      <c r="S118" s="92"/>
      <c r="T118" s="92"/>
      <c r="U118" s="92"/>
      <c r="V118" s="92"/>
    </row>
    <row r="119" ht="15.75" customHeight="1">
      <c r="A119" s="96"/>
      <c r="B119" s="96"/>
      <c r="C119" s="97"/>
      <c r="D119" s="96"/>
      <c r="E119" s="96"/>
      <c r="F119" s="96"/>
      <c r="G119" s="96"/>
      <c r="H119" s="96"/>
      <c r="I119" s="96"/>
      <c r="J119" s="96"/>
      <c r="K119" s="96"/>
      <c r="L119" s="96"/>
      <c r="M119" s="92"/>
      <c r="N119" s="92"/>
      <c r="O119" s="92"/>
      <c r="P119" s="92"/>
      <c r="Q119" s="92"/>
      <c r="R119" s="92"/>
      <c r="S119" s="92"/>
      <c r="T119" s="92"/>
      <c r="U119" s="92"/>
      <c r="V119" s="92"/>
    </row>
    <row r="120" ht="15.75" customHeight="1">
      <c r="A120" s="96"/>
      <c r="B120" s="96"/>
      <c r="C120" s="97"/>
      <c r="D120" s="96"/>
      <c r="E120" s="96"/>
      <c r="F120" s="96"/>
      <c r="G120" s="96"/>
      <c r="H120" s="96"/>
      <c r="I120" s="96"/>
      <c r="J120" s="96"/>
      <c r="K120" s="96"/>
      <c r="L120" s="96"/>
      <c r="M120" s="92"/>
      <c r="N120" s="92"/>
      <c r="O120" s="92"/>
      <c r="P120" s="92"/>
      <c r="Q120" s="92"/>
      <c r="R120" s="92"/>
      <c r="S120" s="92"/>
      <c r="T120" s="92"/>
      <c r="U120" s="92"/>
      <c r="V120" s="92"/>
    </row>
    <row r="121" ht="15.75" customHeight="1">
      <c r="A121" s="96"/>
      <c r="B121" s="96"/>
      <c r="C121" s="97"/>
      <c r="D121" s="96"/>
      <c r="E121" s="96"/>
      <c r="F121" s="96"/>
      <c r="G121" s="96"/>
      <c r="H121" s="96"/>
      <c r="I121" s="96"/>
      <c r="J121" s="96"/>
      <c r="K121" s="96"/>
      <c r="L121" s="96"/>
      <c r="M121" s="92"/>
      <c r="N121" s="92"/>
      <c r="O121" s="92"/>
      <c r="P121" s="92"/>
      <c r="Q121" s="92"/>
      <c r="R121" s="92"/>
      <c r="S121" s="92"/>
      <c r="T121" s="92"/>
      <c r="U121" s="92"/>
      <c r="V121" s="92"/>
    </row>
    <row r="122" ht="15.75" customHeight="1">
      <c r="A122" s="96"/>
      <c r="B122" s="96"/>
      <c r="C122" s="97"/>
      <c r="D122" s="96"/>
      <c r="E122" s="96"/>
      <c r="F122" s="96"/>
      <c r="G122" s="96"/>
      <c r="H122" s="96"/>
      <c r="I122" s="96"/>
      <c r="J122" s="96"/>
      <c r="K122" s="96"/>
      <c r="L122" s="96"/>
      <c r="M122" s="92"/>
      <c r="N122" s="92"/>
      <c r="O122" s="92"/>
      <c r="P122" s="92"/>
      <c r="Q122" s="92"/>
      <c r="R122" s="92"/>
      <c r="S122" s="92"/>
      <c r="T122" s="92"/>
      <c r="U122" s="92"/>
      <c r="V122" s="92"/>
    </row>
    <row r="123" ht="15.75" customHeight="1">
      <c r="A123" s="96"/>
      <c r="B123" s="96"/>
      <c r="C123" s="97"/>
      <c r="D123" s="96"/>
      <c r="E123" s="96"/>
      <c r="F123" s="96"/>
      <c r="G123" s="96"/>
      <c r="H123" s="96"/>
      <c r="I123" s="96"/>
      <c r="J123" s="96"/>
      <c r="K123" s="96"/>
      <c r="L123" s="96"/>
      <c r="M123" s="92"/>
      <c r="N123" s="92"/>
      <c r="O123" s="92"/>
      <c r="P123" s="92"/>
      <c r="Q123" s="92"/>
      <c r="R123" s="92"/>
      <c r="S123" s="92"/>
      <c r="T123" s="92"/>
      <c r="U123" s="92"/>
      <c r="V123" s="92"/>
    </row>
    <row r="124" ht="15.75" customHeight="1">
      <c r="A124" s="96"/>
      <c r="B124" s="96"/>
      <c r="C124" s="97"/>
      <c r="D124" s="96"/>
      <c r="E124" s="96"/>
      <c r="F124" s="96"/>
      <c r="G124" s="96"/>
      <c r="H124" s="96"/>
      <c r="I124" s="96"/>
      <c r="J124" s="96"/>
      <c r="K124" s="96"/>
      <c r="L124" s="96"/>
      <c r="M124" s="92"/>
      <c r="N124" s="92"/>
      <c r="O124" s="92"/>
      <c r="P124" s="92"/>
      <c r="Q124" s="92"/>
      <c r="R124" s="92"/>
      <c r="S124" s="92"/>
      <c r="T124" s="92"/>
      <c r="U124" s="92"/>
      <c r="V124" s="92"/>
    </row>
    <row r="125" ht="15.75" customHeight="1">
      <c r="A125" s="96"/>
      <c r="B125" s="96"/>
      <c r="C125" s="97"/>
      <c r="D125" s="96"/>
      <c r="E125" s="96"/>
      <c r="F125" s="96"/>
      <c r="G125" s="96"/>
      <c r="H125" s="96"/>
      <c r="I125" s="96"/>
      <c r="J125" s="96"/>
      <c r="K125" s="96"/>
      <c r="L125" s="96"/>
      <c r="M125" s="92"/>
      <c r="N125" s="92"/>
      <c r="O125" s="92"/>
      <c r="P125" s="92"/>
      <c r="Q125" s="92"/>
      <c r="R125" s="92"/>
      <c r="S125" s="92"/>
      <c r="T125" s="92"/>
      <c r="U125" s="92"/>
      <c r="V125" s="92"/>
    </row>
    <row r="126" ht="15.75" customHeight="1">
      <c r="A126" s="96"/>
      <c r="B126" s="96"/>
      <c r="C126" s="97"/>
      <c r="D126" s="96"/>
      <c r="E126" s="96"/>
      <c r="F126" s="96"/>
      <c r="G126" s="96"/>
      <c r="H126" s="96"/>
      <c r="I126" s="96"/>
      <c r="J126" s="96"/>
      <c r="K126" s="96"/>
      <c r="L126" s="96"/>
      <c r="M126" s="92"/>
      <c r="N126" s="92"/>
      <c r="O126" s="92"/>
      <c r="P126" s="92"/>
      <c r="Q126" s="92"/>
      <c r="R126" s="92"/>
      <c r="S126" s="92"/>
      <c r="T126" s="92"/>
      <c r="U126" s="92"/>
      <c r="V126" s="92"/>
    </row>
    <row r="127" ht="15.75" customHeight="1">
      <c r="A127" s="96"/>
      <c r="B127" s="96"/>
      <c r="C127" s="97"/>
      <c r="D127" s="96"/>
      <c r="E127" s="96"/>
      <c r="F127" s="96"/>
      <c r="G127" s="96"/>
      <c r="H127" s="96"/>
      <c r="I127" s="96"/>
      <c r="J127" s="96"/>
      <c r="K127" s="96"/>
      <c r="L127" s="96"/>
      <c r="M127" s="92"/>
      <c r="N127" s="92"/>
      <c r="O127" s="92"/>
      <c r="P127" s="92"/>
      <c r="Q127" s="92"/>
      <c r="R127" s="92"/>
      <c r="S127" s="92"/>
      <c r="T127" s="92"/>
      <c r="U127" s="92"/>
      <c r="V127" s="92"/>
    </row>
    <row r="128" ht="15.75" customHeight="1">
      <c r="A128" s="96"/>
      <c r="B128" s="96"/>
      <c r="C128" s="97"/>
      <c r="D128" s="96"/>
      <c r="E128" s="96"/>
      <c r="F128" s="96"/>
      <c r="G128" s="96"/>
      <c r="H128" s="96"/>
      <c r="I128" s="96"/>
      <c r="J128" s="96"/>
      <c r="K128" s="96"/>
      <c r="L128" s="96"/>
      <c r="M128" s="92"/>
      <c r="N128" s="92"/>
      <c r="O128" s="92"/>
      <c r="P128" s="92"/>
      <c r="Q128" s="92"/>
      <c r="R128" s="92"/>
      <c r="S128" s="92"/>
      <c r="T128" s="92"/>
      <c r="U128" s="92"/>
      <c r="V128" s="92"/>
    </row>
    <row r="129" ht="15.75" customHeight="1">
      <c r="A129" s="96"/>
      <c r="B129" s="96"/>
      <c r="C129" s="97"/>
      <c r="D129" s="96"/>
      <c r="E129" s="96"/>
      <c r="F129" s="96"/>
      <c r="G129" s="96"/>
      <c r="H129" s="96"/>
      <c r="I129" s="96"/>
      <c r="J129" s="96"/>
      <c r="K129" s="96"/>
      <c r="L129" s="96"/>
      <c r="M129" s="92"/>
      <c r="N129" s="92"/>
      <c r="O129" s="92"/>
      <c r="P129" s="92"/>
      <c r="Q129" s="92"/>
      <c r="R129" s="92"/>
      <c r="S129" s="92"/>
      <c r="T129" s="92"/>
      <c r="U129" s="92"/>
      <c r="V129" s="92"/>
    </row>
    <row r="130" ht="15.75" customHeight="1">
      <c r="A130" s="96"/>
      <c r="B130" s="96"/>
      <c r="C130" s="97"/>
      <c r="D130" s="96"/>
      <c r="E130" s="96"/>
      <c r="F130" s="96"/>
      <c r="G130" s="96"/>
      <c r="H130" s="96"/>
      <c r="I130" s="96"/>
      <c r="J130" s="96"/>
      <c r="K130" s="96"/>
      <c r="L130" s="96"/>
      <c r="M130" s="92"/>
      <c r="N130" s="92"/>
      <c r="O130" s="92"/>
      <c r="P130" s="92"/>
      <c r="Q130" s="92"/>
      <c r="R130" s="92"/>
      <c r="S130" s="92"/>
      <c r="T130" s="92"/>
      <c r="U130" s="92"/>
      <c r="V130" s="92"/>
    </row>
    <row r="131" ht="15.75" customHeight="1">
      <c r="A131" s="96"/>
      <c r="B131" s="96"/>
      <c r="C131" s="97"/>
      <c r="D131" s="96"/>
      <c r="E131" s="96"/>
      <c r="F131" s="96"/>
      <c r="G131" s="96"/>
      <c r="H131" s="96"/>
      <c r="I131" s="96"/>
      <c r="J131" s="96"/>
      <c r="K131" s="96"/>
      <c r="L131" s="96"/>
      <c r="M131" s="92"/>
      <c r="N131" s="92"/>
      <c r="O131" s="92"/>
      <c r="P131" s="92"/>
      <c r="Q131" s="92"/>
      <c r="R131" s="92"/>
      <c r="S131" s="92"/>
      <c r="T131" s="92"/>
      <c r="U131" s="92"/>
      <c r="V131" s="92"/>
    </row>
    <row r="132" ht="15.75" customHeight="1">
      <c r="A132" s="96"/>
      <c r="B132" s="96"/>
      <c r="C132" s="97"/>
      <c r="D132" s="96"/>
      <c r="E132" s="96"/>
      <c r="F132" s="96"/>
      <c r="G132" s="96"/>
      <c r="H132" s="96"/>
      <c r="I132" s="96"/>
      <c r="J132" s="96"/>
      <c r="K132" s="96"/>
      <c r="L132" s="96"/>
      <c r="M132" s="92"/>
      <c r="N132" s="92"/>
      <c r="O132" s="92"/>
      <c r="P132" s="92"/>
      <c r="Q132" s="92"/>
      <c r="R132" s="92"/>
      <c r="S132" s="92"/>
      <c r="T132" s="92"/>
      <c r="U132" s="92"/>
      <c r="V132" s="92"/>
    </row>
    <row r="133" ht="15.75" customHeight="1">
      <c r="A133" s="96"/>
      <c r="B133" s="96"/>
      <c r="C133" s="97"/>
      <c r="D133" s="96"/>
      <c r="E133" s="96"/>
      <c r="F133" s="96"/>
      <c r="G133" s="96"/>
      <c r="H133" s="96"/>
      <c r="I133" s="96"/>
      <c r="J133" s="96"/>
      <c r="K133" s="96"/>
      <c r="L133" s="96"/>
      <c r="M133" s="92"/>
      <c r="N133" s="92"/>
      <c r="O133" s="92"/>
      <c r="P133" s="92"/>
      <c r="Q133" s="92"/>
      <c r="R133" s="92"/>
      <c r="S133" s="92"/>
      <c r="T133" s="92"/>
      <c r="U133" s="92"/>
      <c r="V133" s="92"/>
    </row>
    <row r="134" ht="15.75" customHeight="1">
      <c r="A134" s="96"/>
      <c r="B134" s="96"/>
      <c r="C134" s="97"/>
      <c r="D134" s="96"/>
      <c r="E134" s="96"/>
      <c r="F134" s="96"/>
      <c r="G134" s="96"/>
      <c r="H134" s="96"/>
      <c r="I134" s="96"/>
      <c r="J134" s="96"/>
      <c r="K134" s="96"/>
      <c r="L134" s="96"/>
      <c r="M134" s="92"/>
      <c r="N134" s="92"/>
      <c r="O134" s="92"/>
      <c r="P134" s="92"/>
      <c r="Q134" s="92"/>
      <c r="R134" s="92"/>
      <c r="S134" s="92"/>
      <c r="T134" s="92"/>
      <c r="U134" s="92"/>
      <c r="V134" s="92"/>
    </row>
    <row r="135" ht="15.75" customHeight="1">
      <c r="A135" s="96"/>
      <c r="B135" s="96"/>
      <c r="C135" s="97"/>
      <c r="D135" s="96"/>
      <c r="E135" s="96"/>
      <c r="F135" s="96"/>
      <c r="G135" s="96"/>
      <c r="H135" s="96"/>
      <c r="I135" s="96"/>
      <c r="J135" s="96"/>
      <c r="K135" s="96"/>
      <c r="L135" s="96"/>
      <c r="M135" s="92"/>
      <c r="N135" s="92"/>
      <c r="O135" s="92"/>
      <c r="P135" s="92"/>
      <c r="Q135" s="92"/>
      <c r="R135" s="92"/>
      <c r="S135" s="92"/>
      <c r="T135" s="92"/>
      <c r="U135" s="92"/>
      <c r="V135" s="92"/>
    </row>
    <row r="136" ht="15.75" customHeight="1">
      <c r="A136" s="96"/>
      <c r="B136" s="96"/>
      <c r="C136" s="97"/>
      <c r="D136" s="96"/>
      <c r="E136" s="96"/>
      <c r="F136" s="96"/>
      <c r="G136" s="96"/>
      <c r="H136" s="96"/>
      <c r="I136" s="96"/>
      <c r="J136" s="96"/>
      <c r="K136" s="96"/>
      <c r="L136" s="96"/>
      <c r="M136" s="92"/>
      <c r="N136" s="92"/>
      <c r="O136" s="92"/>
      <c r="P136" s="92"/>
      <c r="Q136" s="92"/>
      <c r="R136" s="92"/>
      <c r="S136" s="92"/>
      <c r="T136" s="92"/>
      <c r="U136" s="92"/>
      <c r="V136" s="92"/>
    </row>
    <row r="137" ht="15.75" customHeight="1">
      <c r="A137" s="96"/>
      <c r="B137" s="96"/>
      <c r="C137" s="97"/>
      <c r="D137" s="96"/>
      <c r="E137" s="96"/>
      <c r="F137" s="96"/>
      <c r="G137" s="96"/>
      <c r="H137" s="96"/>
      <c r="I137" s="96"/>
      <c r="J137" s="96"/>
      <c r="K137" s="96"/>
      <c r="L137" s="96"/>
      <c r="M137" s="92"/>
      <c r="N137" s="92"/>
      <c r="O137" s="92"/>
      <c r="P137" s="92"/>
      <c r="Q137" s="92"/>
      <c r="R137" s="92"/>
      <c r="S137" s="92"/>
      <c r="T137" s="92"/>
      <c r="U137" s="92"/>
      <c r="V137" s="92"/>
    </row>
    <row r="138" ht="15.75" customHeight="1">
      <c r="A138" s="96"/>
      <c r="B138" s="96"/>
      <c r="C138" s="97"/>
      <c r="D138" s="96"/>
      <c r="E138" s="96"/>
      <c r="F138" s="96"/>
      <c r="G138" s="96"/>
      <c r="H138" s="96"/>
      <c r="I138" s="96"/>
      <c r="J138" s="96"/>
      <c r="K138" s="96"/>
      <c r="L138" s="96"/>
      <c r="M138" s="92"/>
      <c r="N138" s="92"/>
      <c r="O138" s="92"/>
      <c r="P138" s="92"/>
      <c r="Q138" s="92"/>
      <c r="R138" s="92"/>
      <c r="S138" s="92"/>
      <c r="T138" s="92"/>
      <c r="U138" s="92"/>
      <c r="V138" s="92"/>
    </row>
    <row r="139" ht="15.75" customHeight="1">
      <c r="A139" s="96"/>
      <c r="B139" s="96"/>
      <c r="C139" s="97"/>
      <c r="D139" s="96"/>
      <c r="E139" s="96"/>
      <c r="F139" s="96"/>
      <c r="G139" s="96"/>
      <c r="H139" s="96"/>
      <c r="I139" s="96"/>
      <c r="J139" s="96"/>
      <c r="K139" s="96"/>
      <c r="L139" s="96"/>
      <c r="M139" s="92"/>
      <c r="N139" s="92"/>
      <c r="O139" s="92"/>
      <c r="P139" s="92"/>
      <c r="Q139" s="92"/>
      <c r="R139" s="92"/>
      <c r="S139" s="92"/>
      <c r="T139" s="92"/>
      <c r="U139" s="92"/>
      <c r="V139" s="92"/>
    </row>
    <row r="140" ht="15.75" customHeight="1">
      <c r="A140" s="96"/>
      <c r="B140" s="96"/>
      <c r="C140" s="97"/>
      <c r="D140" s="96"/>
      <c r="E140" s="96"/>
      <c r="F140" s="96"/>
      <c r="G140" s="96"/>
      <c r="H140" s="96"/>
      <c r="I140" s="96"/>
      <c r="J140" s="96"/>
      <c r="K140" s="96"/>
      <c r="L140" s="96"/>
      <c r="M140" s="92"/>
      <c r="N140" s="92"/>
      <c r="O140" s="92"/>
      <c r="P140" s="92"/>
      <c r="Q140" s="92"/>
      <c r="R140" s="92"/>
      <c r="S140" s="92"/>
      <c r="T140" s="92"/>
      <c r="U140" s="92"/>
      <c r="V140" s="92"/>
    </row>
    <row r="141" ht="15.75" customHeight="1">
      <c r="A141" s="96"/>
      <c r="B141" s="96"/>
      <c r="C141" s="97"/>
      <c r="D141" s="96"/>
      <c r="E141" s="96"/>
      <c r="F141" s="96"/>
      <c r="G141" s="96"/>
      <c r="H141" s="96"/>
      <c r="I141" s="96"/>
      <c r="J141" s="96"/>
      <c r="K141" s="96"/>
      <c r="L141" s="96"/>
      <c r="M141" s="92"/>
      <c r="N141" s="92"/>
      <c r="O141" s="92"/>
      <c r="P141" s="92"/>
      <c r="Q141" s="92"/>
      <c r="R141" s="92"/>
      <c r="S141" s="92"/>
      <c r="T141" s="92"/>
      <c r="U141" s="92"/>
      <c r="V141" s="92"/>
    </row>
    <row r="142" ht="15.75" customHeight="1">
      <c r="A142" s="96"/>
      <c r="B142" s="96"/>
      <c r="C142" s="97"/>
      <c r="D142" s="96"/>
      <c r="E142" s="96"/>
      <c r="F142" s="96"/>
      <c r="G142" s="96"/>
      <c r="H142" s="96"/>
      <c r="I142" s="96"/>
      <c r="J142" s="96"/>
      <c r="K142" s="96"/>
      <c r="L142" s="96"/>
      <c r="M142" s="92"/>
      <c r="N142" s="92"/>
      <c r="O142" s="92"/>
      <c r="P142" s="92"/>
      <c r="Q142" s="92"/>
      <c r="R142" s="92"/>
      <c r="S142" s="92"/>
      <c r="T142" s="92"/>
      <c r="U142" s="92"/>
      <c r="V142" s="92"/>
    </row>
    <row r="143" ht="15.75" customHeight="1">
      <c r="A143" s="96"/>
      <c r="B143" s="96"/>
      <c r="C143" s="97"/>
      <c r="D143" s="96"/>
      <c r="E143" s="96"/>
      <c r="F143" s="96"/>
      <c r="G143" s="96"/>
      <c r="H143" s="96"/>
      <c r="I143" s="96"/>
      <c r="J143" s="96"/>
      <c r="K143" s="96"/>
      <c r="L143" s="96"/>
      <c r="M143" s="92"/>
      <c r="N143" s="92"/>
      <c r="O143" s="92"/>
      <c r="P143" s="92"/>
      <c r="Q143" s="92"/>
      <c r="R143" s="92"/>
      <c r="S143" s="92"/>
      <c r="T143" s="92"/>
      <c r="U143" s="92"/>
      <c r="V143" s="92"/>
    </row>
    <row r="144" ht="15.75" customHeight="1">
      <c r="A144" s="96"/>
      <c r="B144" s="96"/>
      <c r="C144" s="97"/>
      <c r="D144" s="96"/>
      <c r="E144" s="96"/>
      <c r="F144" s="96"/>
      <c r="G144" s="96"/>
      <c r="H144" s="96"/>
      <c r="I144" s="96"/>
      <c r="J144" s="96"/>
      <c r="K144" s="96"/>
      <c r="L144" s="96"/>
      <c r="M144" s="92"/>
      <c r="N144" s="92"/>
      <c r="O144" s="92"/>
      <c r="P144" s="92"/>
      <c r="Q144" s="92"/>
      <c r="R144" s="92"/>
      <c r="S144" s="92"/>
      <c r="T144" s="92"/>
      <c r="U144" s="92"/>
      <c r="V144" s="92"/>
    </row>
    <row r="145" ht="15.75" customHeight="1">
      <c r="A145" s="96"/>
      <c r="B145" s="96"/>
      <c r="C145" s="97"/>
      <c r="D145" s="96"/>
      <c r="E145" s="96"/>
      <c r="F145" s="96"/>
      <c r="G145" s="96"/>
      <c r="H145" s="96"/>
      <c r="I145" s="96"/>
      <c r="J145" s="96"/>
      <c r="K145" s="96"/>
      <c r="L145" s="96"/>
      <c r="M145" s="92"/>
      <c r="N145" s="92"/>
      <c r="O145" s="92"/>
      <c r="P145" s="92"/>
      <c r="Q145" s="92"/>
      <c r="R145" s="92"/>
      <c r="S145" s="92"/>
      <c r="T145" s="92"/>
      <c r="U145" s="92"/>
      <c r="V145" s="92"/>
    </row>
    <row r="146" ht="15.75" customHeight="1">
      <c r="A146" s="96"/>
      <c r="B146" s="96"/>
      <c r="C146" s="97"/>
      <c r="D146" s="96"/>
      <c r="E146" s="96"/>
      <c r="F146" s="96"/>
      <c r="G146" s="96"/>
      <c r="H146" s="96"/>
      <c r="I146" s="96"/>
      <c r="J146" s="96"/>
      <c r="K146" s="96"/>
      <c r="L146" s="96"/>
      <c r="M146" s="92"/>
      <c r="N146" s="92"/>
      <c r="O146" s="92"/>
      <c r="P146" s="92"/>
      <c r="Q146" s="92"/>
      <c r="R146" s="92"/>
      <c r="S146" s="92"/>
      <c r="T146" s="92"/>
      <c r="U146" s="92"/>
      <c r="V146" s="92"/>
    </row>
    <row r="147" ht="15.75" customHeight="1">
      <c r="A147" s="96"/>
      <c r="B147" s="96"/>
      <c r="C147" s="97"/>
      <c r="D147" s="96"/>
      <c r="E147" s="96"/>
      <c r="F147" s="96"/>
      <c r="G147" s="96"/>
      <c r="H147" s="96"/>
      <c r="I147" s="96"/>
      <c r="J147" s="96"/>
      <c r="K147" s="96"/>
      <c r="L147" s="96"/>
      <c r="M147" s="92"/>
      <c r="N147" s="92"/>
      <c r="O147" s="92"/>
      <c r="P147" s="92"/>
      <c r="Q147" s="92"/>
      <c r="R147" s="92"/>
      <c r="S147" s="92"/>
      <c r="T147" s="92"/>
      <c r="U147" s="92"/>
      <c r="V147" s="92"/>
    </row>
    <row r="148" ht="15.75" customHeight="1">
      <c r="A148" s="96"/>
      <c r="B148" s="96"/>
      <c r="C148" s="97"/>
      <c r="D148" s="96"/>
      <c r="E148" s="96"/>
      <c r="F148" s="96"/>
      <c r="G148" s="96"/>
      <c r="H148" s="96"/>
      <c r="I148" s="96"/>
      <c r="J148" s="96"/>
      <c r="K148" s="96"/>
      <c r="L148" s="96"/>
      <c r="M148" s="92"/>
      <c r="N148" s="92"/>
      <c r="O148" s="92"/>
      <c r="P148" s="92"/>
      <c r="Q148" s="92"/>
      <c r="R148" s="92"/>
      <c r="S148" s="92"/>
      <c r="T148" s="92"/>
      <c r="U148" s="92"/>
      <c r="V148" s="92"/>
    </row>
    <row r="149" ht="15.75" customHeight="1">
      <c r="A149" s="96"/>
      <c r="B149" s="96"/>
      <c r="C149" s="97"/>
      <c r="D149" s="96"/>
      <c r="E149" s="96"/>
      <c r="F149" s="96"/>
      <c r="G149" s="96"/>
      <c r="H149" s="96"/>
      <c r="I149" s="96"/>
      <c r="J149" s="96"/>
      <c r="K149" s="96"/>
      <c r="L149" s="96"/>
      <c r="M149" s="92"/>
      <c r="N149" s="92"/>
      <c r="O149" s="92"/>
      <c r="P149" s="92"/>
      <c r="Q149" s="92"/>
      <c r="R149" s="92"/>
      <c r="S149" s="92"/>
      <c r="T149" s="92"/>
      <c r="U149" s="92"/>
      <c r="V149" s="92"/>
    </row>
    <row r="150" ht="15.75" customHeight="1">
      <c r="A150" s="96"/>
      <c r="B150" s="96"/>
      <c r="C150" s="97"/>
      <c r="D150" s="96"/>
      <c r="E150" s="96"/>
      <c r="F150" s="96"/>
      <c r="G150" s="96"/>
      <c r="H150" s="96"/>
      <c r="I150" s="96"/>
      <c r="J150" s="96"/>
      <c r="K150" s="96"/>
      <c r="L150" s="96"/>
      <c r="M150" s="92"/>
      <c r="N150" s="92"/>
      <c r="O150" s="92"/>
      <c r="P150" s="92"/>
      <c r="Q150" s="92"/>
      <c r="R150" s="92"/>
      <c r="S150" s="92"/>
      <c r="T150" s="92"/>
      <c r="U150" s="92"/>
      <c r="V150" s="92"/>
    </row>
    <row r="151" ht="15.75" customHeight="1">
      <c r="A151" s="96"/>
      <c r="B151" s="96"/>
      <c r="C151" s="97"/>
      <c r="D151" s="96"/>
      <c r="E151" s="96"/>
      <c r="F151" s="96"/>
      <c r="G151" s="96"/>
      <c r="H151" s="96"/>
      <c r="I151" s="96"/>
      <c r="J151" s="96"/>
      <c r="K151" s="96"/>
      <c r="L151" s="96"/>
      <c r="M151" s="92"/>
      <c r="N151" s="92"/>
      <c r="O151" s="92"/>
      <c r="P151" s="92"/>
      <c r="Q151" s="92"/>
      <c r="R151" s="92"/>
      <c r="S151" s="92"/>
      <c r="T151" s="92"/>
      <c r="U151" s="92"/>
      <c r="V151" s="9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57"/>
    <col customWidth="1" min="3" max="3" width="27.14"/>
    <col customWidth="1" min="4" max="4" width="6.43"/>
    <col customWidth="1" min="5" max="5" width="6.14"/>
    <col customWidth="1" min="6" max="6" width="18.0"/>
    <col customWidth="1" min="7" max="7" width="7.71"/>
    <col customWidth="1" min="8" max="8" width="6.43"/>
    <col customWidth="1" min="9" max="9" width="47.43"/>
    <col customWidth="1" min="10" max="10" width="33.0"/>
    <col customWidth="1" min="11" max="12" width="9.71"/>
  </cols>
  <sheetData>
    <row r="1">
      <c r="A1" s="98" t="s">
        <v>1008</v>
      </c>
      <c r="B1" s="90" t="s">
        <v>404</v>
      </c>
      <c r="C1" s="90" t="s">
        <v>405</v>
      </c>
      <c r="D1" s="90" t="s">
        <v>406</v>
      </c>
      <c r="E1" s="90" t="s">
        <v>1009</v>
      </c>
      <c r="F1" s="90" t="s">
        <v>407</v>
      </c>
      <c r="G1" s="90" t="s">
        <v>408</v>
      </c>
      <c r="H1" s="90" t="s">
        <v>409</v>
      </c>
      <c r="I1" s="90" t="s">
        <v>402</v>
      </c>
      <c r="J1" s="90" t="s">
        <v>412</v>
      </c>
      <c r="K1" s="90" t="s">
        <v>1243</v>
      </c>
      <c r="L1" s="98"/>
    </row>
    <row r="2">
      <c r="A2" s="99">
        <v>1.0</v>
      </c>
      <c r="B2" s="74" t="s">
        <v>1231</v>
      </c>
      <c r="C2" s="75" t="s">
        <v>1232</v>
      </c>
      <c r="D2" s="74" t="s">
        <v>513</v>
      </c>
      <c r="E2" s="74" t="s">
        <v>1013</v>
      </c>
      <c r="F2" s="74" t="s">
        <v>425</v>
      </c>
      <c r="G2" s="74" t="s">
        <v>564</v>
      </c>
      <c r="H2" s="74" t="s">
        <v>20</v>
      </c>
      <c r="I2" s="74" t="s">
        <v>1233</v>
      </c>
      <c r="J2" s="75" t="s">
        <v>1234</v>
      </c>
      <c r="K2" s="74"/>
      <c r="L2" s="92"/>
    </row>
    <row r="3">
      <c r="A3" s="99">
        <v>2.0</v>
      </c>
      <c r="B3" s="74" t="s">
        <v>1235</v>
      </c>
      <c r="C3" s="75" t="s">
        <v>1236</v>
      </c>
      <c r="D3" s="74" t="s">
        <v>513</v>
      </c>
      <c r="E3" s="74" t="s">
        <v>1013</v>
      </c>
      <c r="F3" s="74" t="s">
        <v>425</v>
      </c>
      <c r="G3" s="74" t="s">
        <v>564</v>
      </c>
      <c r="H3" s="74" t="s">
        <v>20</v>
      </c>
      <c r="I3" s="74" t="s">
        <v>1237</v>
      </c>
      <c r="J3" s="75" t="s">
        <v>1238</v>
      </c>
      <c r="K3" s="74"/>
      <c r="L3" s="92"/>
    </row>
    <row r="4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</row>
    <row r="7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</row>
    <row r="8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</row>
    <row r="9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</row>
    <row r="20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1" ht="15.7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</row>
    <row r="78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</row>
    <row r="79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</row>
    <row r="80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</row>
    <row r="81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</row>
    <row r="8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29"/>
    <col customWidth="1" min="3" max="3" width="13.43"/>
    <col customWidth="1" min="4" max="4" width="6.86"/>
    <col customWidth="1" min="5" max="5" width="6.14"/>
    <col customWidth="1" min="6" max="6" width="13.71"/>
    <col customWidth="1" min="7" max="8" width="6.43"/>
    <col customWidth="1" min="9" max="9" width="34.57"/>
    <col customWidth="1" min="10" max="10" width="33.0"/>
    <col customWidth="1" min="11" max="11" width="9.71"/>
  </cols>
  <sheetData>
    <row r="1">
      <c r="A1" s="98" t="s">
        <v>1008</v>
      </c>
      <c r="B1" s="90" t="s">
        <v>404</v>
      </c>
      <c r="C1" s="90" t="s">
        <v>405</v>
      </c>
      <c r="D1" s="90" t="s">
        <v>406</v>
      </c>
      <c r="E1" s="90" t="s">
        <v>1009</v>
      </c>
      <c r="F1" s="90" t="s">
        <v>407</v>
      </c>
      <c r="G1" s="90" t="s">
        <v>408</v>
      </c>
      <c r="H1" s="90" t="s">
        <v>409</v>
      </c>
      <c r="I1" s="90" t="s">
        <v>1244</v>
      </c>
      <c r="J1" s="90" t="s">
        <v>412</v>
      </c>
      <c r="K1" s="90" t="s">
        <v>1243</v>
      </c>
    </row>
    <row r="2">
      <c r="A2" s="99">
        <v>1.0</v>
      </c>
      <c r="B2" s="74" t="s">
        <v>562</v>
      </c>
      <c r="C2" s="75" t="s">
        <v>563</v>
      </c>
      <c r="D2" s="74" t="s">
        <v>430</v>
      </c>
      <c r="E2" s="74" t="s">
        <v>1013</v>
      </c>
      <c r="F2" s="74" t="s">
        <v>425</v>
      </c>
      <c r="G2" s="74" t="s">
        <v>564</v>
      </c>
      <c r="H2" s="74" t="s">
        <v>19</v>
      </c>
      <c r="I2" s="74" t="s">
        <v>1245</v>
      </c>
      <c r="J2" s="75" t="s">
        <v>565</v>
      </c>
      <c r="K2" s="74">
        <v>7.297804273E9</v>
      </c>
    </row>
    <row r="3">
      <c r="A3" s="99">
        <v>2.0</v>
      </c>
      <c r="B3" s="74" t="s">
        <v>1246</v>
      </c>
      <c r="C3" s="75" t="s">
        <v>1247</v>
      </c>
      <c r="D3" s="74" t="s">
        <v>513</v>
      </c>
      <c r="E3" s="74" t="s">
        <v>1013</v>
      </c>
      <c r="F3" s="74" t="s">
        <v>425</v>
      </c>
      <c r="G3" s="74"/>
      <c r="H3" s="74" t="s">
        <v>20</v>
      </c>
      <c r="I3" s="74" t="s">
        <v>1248</v>
      </c>
      <c r="J3" s="75" t="s">
        <v>1249</v>
      </c>
      <c r="K3" s="74">
        <v>9.252047222E9</v>
      </c>
    </row>
    <row r="4">
      <c r="A4" s="99">
        <v>3.0</v>
      </c>
      <c r="B4" s="74" t="s">
        <v>1250</v>
      </c>
      <c r="C4" s="75" t="s">
        <v>1251</v>
      </c>
      <c r="D4" s="74" t="s">
        <v>469</v>
      </c>
      <c r="E4" s="74" t="s">
        <v>50</v>
      </c>
      <c r="F4" s="74" t="s">
        <v>50</v>
      </c>
      <c r="G4" s="74" t="s">
        <v>431</v>
      </c>
      <c r="H4" s="74" t="s">
        <v>20</v>
      </c>
      <c r="I4" s="74" t="s">
        <v>1252</v>
      </c>
      <c r="J4" s="75" t="s">
        <v>1253</v>
      </c>
      <c r="K4" s="74">
        <v>7.740873622E9</v>
      </c>
    </row>
    <row r="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</row>
    <row r="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</row>
    <row r="7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</row>
    <row r="8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</row>
    <row r="9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</row>
    <row r="10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</row>
    <row r="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</row>
    <row r="19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</row>
    <row r="20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</row>
    <row r="21" ht="15.7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</row>
    <row r="78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</row>
    <row r="79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</row>
    <row r="80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</row>
    <row r="81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</row>
    <row r="8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2" max="9" width="12.57"/>
    <col customWidth="1" min="10" max="10" width="13.29"/>
    <col customWidth="1" min="11" max="15" width="12.57"/>
  </cols>
  <sheetData>
    <row r="1">
      <c r="A1" s="100" t="s">
        <v>1254</v>
      </c>
      <c r="B1" s="2"/>
      <c r="C1" s="2"/>
      <c r="D1" s="2"/>
      <c r="E1" s="2"/>
      <c r="F1" s="2"/>
      <c r="G1" s="3"/>
      <c r="H1" s="101"/>
      <c r="I1" s="42" t="s">
        <v>1255</v>
      </c>
      <c r="J1" s="42" t="s">
        <v>1256</v>
      </c>
      <c r="K1" s="42" t="s">
        <v>406</v>
      </c>
      <c r="L1" s="102"/>
      <c r="M1" s="102"/>
      <c r="N1" s="102"/>
      <c r="O1" s="102"/>
    </row>
    <row r="2">
      <c r="A2" s="103" t="s">
        <v>1257</v>
      </c>
      <c r="B2" s="104" t="s">
        <v>18</v>
      </c>
      <c r="C2" s="104" t="s">
        <v>19</v>
      </c>
      <c r="D2" s="104" t="s">
        <v>20</v>
      </c>
      <c r="E2" s="104" t="s">
        <v>1258</v>
      </c>
      <c r="F2" s="104" t="s">
        <v>1259</v>
      </c>
      <c r="G2" s="104" t="s">
        <v>1260</v>
      </c>
      <c r="H2" s="101"/>
      <c r="I2" s="42">
        <v>1300.0</v>
      </c>
      <c r="J2" s="42" t="s">
        <v>1261</v>
      </c>
      <c r="K2" s="42" t="s">
        <v>418</v>
      </c>
      <c r="L2" s="102"/>
      <c r="M2" s="102"/>
      <c r="N2" s="102"/>
      <c r="O2" s="102"/>
    </row>
    <row r="3">
      <c r="A3" s="105" t="s">
        <v>1262</v>
      </c>
      <c r="B3" s="106">
        <v>34.0</v>
      </c>
      <c r="C3" s="106" t="s">
        <v>1263</v>
      </c>
      <c r="D3" s="106">
        <v>15.0</v>
      </c>
      <c r="E3" s="107" t="str">
        <f t="shared" ref="E3:E10" si="1">sum(B3:D3)</f>
        <v>49</v>
      </c>
      <c r="F3" s="107">
        <v>43.0</v>
      </c>
      <c r="G3" s="108" t="str">
        <f t="shared" ref="G3:G36" si="2">sum(E3:F3)</f>
        <v>92</v>
      </c>
      <c r="H3" s="101"/>
      <c r="I3" s="42">
        <v>8692.0</v>
      </c>
      <c r="J3" s="42" t="s">
        <v>1264</v>
      </c>
      <c r="K3" s="42" t="s">
        <v>430</v>
      </c>
      <c r="L3" s="102"/>
      <c r="M3" s="102"/>
      <c r="N3" s="102"/>
      <c r="O3" s="102"/>
    </row>
    <row r="4">
      <c r="A4" s="105" t="s">
        <v>1265</v>
      </c>
      <c r="B4" s="106">
        <v>436.0</v>
      </c>
      <c r="C4" s="106">
        <v>416.0</v>
      </c>
      <c r="D4" s="106">
        <v>481.0</v>
      </c>
      <c r="E4" s="107" t="str">
        <f t="shared" si="1"/>
        <v>1333</v>
      </c>
      <c r="F4" s="107">
        <v>363.0</v>
      </c>
      <c r="G4" s="108" t="str">
        <f t="shared" si="2"/>
        <v>1696</v>
      </c>
      <c r="H4" s="101"/>
      <c r="I4" s="42">
        <v>9073.0</v>
      </c>
      <c r="J4" s="42" t="s">
        <v>1266</v>
      </c>
      <c r="K4" s="42" t="s">
        <v>430</v>
      </c>
      <c r="L4" s="102"/>
      <c r="M4" s="102"/>
      <c r="N4" s="102"/>
      <c r="O4" s="102"/>
    </row>
    <row r="5">
      <c r="A5" s="105" t="s">
        <v>1267</v>
      </c>
      <c r="B5" s="106" t="s">
        <v>1263</v>
      </c>
      <c r="C5" s="106" t="s">
        <v>1263</v>
      </c>
      <c r="D5" s="106">
        <v>10.0</v>
      </c>
      <c r="E5" s="107" t="str">
        <f t="shared" si="1"/>
        <v>10</v>
      </c>
      <c r="F5" s="107" t="s">
        <v>1263</v>
      </c>
      <c r="G5" s="108" t="str">
        <f t="shared" si="2"/>
        <v>10</v>
      </c>
      <c r="H5" s="101"/>
      <c r="I5" s="42">
        <v>8887.0</v>
      </c>
      <c r="J5" s="42" t="s">
        <v>1268</v>
      </c>
      <c r="K5" s="42" t="s">
        <v>430</v>
      </c>
      <c r="L5" s="102"/>
      <c r="M5" s="102"/>
      <c r="N5" s="102"/>
      <c r="O5" s="102"/>
    </row>
    <row r="6">
      <c r="A6" s="105" t="s">
        <v>1269</v>
      </c>
      <c r="B6" s="106">
        <v>28.0</v>
      </c>
      <c r="C6" s="106" t="s">
        <v>1263</v>
      </c>
      <c r="D6" s="106" t="s">
        <v>1263</v>
      </c>
      <c r="E6" s="107" t="str">
        <f t="shared" si="1"/>
        <v>28</v>
      </c>
      <c r="F6" s="107">
        <v>17.0</v>
      </c>
      <c r="G6" s="108" t="str">
        <f t="shared" si="2"/>
        <v>45</v>
      </c>
      <c r="H6" s="101"/>
      <c r="I6" s="42">
        <v>9198.0</v>
      </c>
      <c r="J6" s="42" t="s">
        <v>1270</v>
      </c>
      <c r="K6" s="42" t="s">
        <v>418</v>
      </c>
      <c r="L6" s="102"/>
      <c r="M6" s="102"/>
      <c r="N6" s="102"/>
      <c r="O6" s="102"/>
    </row>
    <row r="7">
      <c r="A7" s="105" t="s">
        <v>1271</v>
      </c>
      <c r="B7" s="106">
        <v>17.0</v>
      </c>
      <c r="C7" s="106" t="s">
        <v>1263</v>
      </c>
      <c r="D7" s="106" t="s">
        <v>1263</v>
      </c>
      <c r="E7" s="107" t="str">
        <f t="shared" si="1"/>
        <v>17</v>
      </c>
      <c r="F7" s="107">
        <v>38.0</v>
      </c>
      <c r="G7" s="108" t="str">
        <f t="shared" si="2"/>
        <v>55</v>
      </c>
      <c r="H7" s="101"/>
      <c r="I7" s="102"/>
      <c r="J7" s="102"/>
      <c r="K7" s="102"/>
      <c r="L7" s="102"/>
      <c r="M7" s="102"/>
      <c r="N7" s="102"/>
      <c r="O7" s="102"/>
    </row>
    <row r="8">
      <c r="A8" s="105" t="s">
        <v>1272</v>
      </c>
      <c r="B8" s="106">
        <v>63.0</v>
      </c>
      <c r="C8" s="106" t="s">
        <v>1263</v>
      </c>
      <c r="D8" s="106" t="s">
        <v>1263</v>
      </c>
      <c r="E8" s="107" t="str">
        <f t="shared" si="1"/>
        <v>63</v>
      </c>
      <c r="F8" s="107" t="s">
        <v>1263</v>
      </c>
      <c r="G8" s="108" t="str">
        <f t="shared" si="2"/>
        <v>63</v>
      </c>
      <c r="H8" s="101"/>
      <c r="I8" s="102"/>
      <c r="J8" s="102"/>
      <c r="K8" s="102"/>
      <c r="L8" s="102"/>
      <c r="M8" s="102"/>
      <c r="N8" s="102"/>
      <c r="O8" s="102"/>
    </row>
    <row r="9">
      <c r="A9" s="105" t="s">
        <v>1273</v>
      </c>
      <c r="B9" s="106">
        <v>14.0</v>
      </c>
      <c r="C9" s="106" t="s">
        <v>1263</v>
      </c>
      <c r="D9" s="106">
        <v>11.0</v>
      </c>
      <c r="E9" s="107" t="str">
        <f t="shared" si="1"/>
        <v>25</v>
      </c>
      <c r="F9" s="107">
        <v>16.0</v>
      </c>
      <c r="G9" s="108" t="str">
        <f t="shared" si="2"/>
        <v>41</v>
      </c>
      <c r="H9" s="101"/>
      <c r="I9" s="102"/>
      <c r="J9" s="102"/>
      <c r="K9" s="102"/>
      <c r="L9" s="102"/>
      <c r="M9" s="102"/>
      <c r="N9" s="102"/>
      <c r="O9" s="102"/>
    </row>
    <row r="10">
      <c r="A10" s="105" t="s">
        <v>51</v>
      </c>
      <c r="B10" s="106" t="s">
        <v>1263</v>
      </c>
      <c r="C10" s="106" t="s">
        <v>1263</v>
      </c>
      <c r="D10" s="106">
        <v>35.0</v>
      </c>
      <c r="E10" s="107" t="str">
        <f t="shared" si="1"/>
        <v>35</v>
      </c>
      <c r="F10" s="107">
        <v>3.0</v>
      </c>
      <c r="G10" s="108" t="str">
        <f t="shared" si="2"/>
        <v>38</v>
      </c>
      <c r="H10" s="101"/>
      <c r="I10" s="102"/>
      <c r="J10" s="102"/>
      <c r="K10" s="102"/>
      <c r="L10" s="102"/>
      <c r="M10" s="102"/>
      <c r="N10" s="102"/>
      <c r="O10" s="102"/>
    </row>
    <row r="11">
      <c r="A11" s="109" t="s">
        <v>1274</v>
      </c>
      <c r="B11" s="110" t="str">
        <f t="shared" ref="B11:F11" si="3">sum(B3:B10)</f>
        <v>592</v>
      </c>
      <c r="C11" s="110" t="str">
        <f t="shared" si="3"/>
        <v>416</v>
      </c>
      <c r="D11" s="110" t="str">
        <f t="shared" si="3"/>
        <v>552</v>
      </c>
      <c r="E11" s="110" t="str">
        <f t="shared" si="3"/>
        <v>1560</v>
      </c>
      <c r="F11" s="110" t="str">
        <f t="shared" si="3"/>
        <v>480</v>
      </c>
      <c r="G11" s="110" t="str">
        <f t="shared" si="2"/>
        <v>2040</v>
      </c>
      <c r="H11" s="101"/>
      <c r="I11" s="102"/>
      <c r="J11" s="102"/>
      <c r="K11" s="102"/>
      <c r="L11" s="102"/>
      <c r="M11" s="102"/>
      <c r="N11" s="102"/>
      <c r="O11" s="102"/>
    </row>
    <row r="12">
      <c r="A12" s="105" t="s">
        <v>49</v>
      </c>
      <c r="B12" s="106" t="s">
        <v>1263</v>
      </c>
      <c r="C12" s="106" t="s">
        <v>1263</v>
      </c>
      <c r="D12" s="106">
        <v>25.0</v>
      </c>
      <c r="E12" s="107" t="str">
        <f t="shared" ref="E12:E34" si="4">sum(B12:D12)</f>
        <v>25</v>
      </c>
      <c r="F12" s="107" t="s">
        <v>1263</v>
      </c>
      <c r="G12" s="108" t="str">
        <f t="shared" si="2"/>
        <v>25</v>
      </c>
      <c r="H12" s="101"/>
      <c r="I12" s="102"/>
      <c r="J12" s="102"/>
      <c r="K12" s="102"/>
      <c r="L12" s="102"/>
      <c r="M12" s="102"/>
      <c r="N12" s="102"/>
      <c r="O12" s="102"/>
    </row>
    <row r="13">
      <c r="A13" s="105" t="s">
        <v>37</v>
      </c>
      <c r="B13" s="106" t="s">
        <v>1263</v>
      </c>
      <c r="C13" s="106" t="s">
        <v>1263</v>
      </c>
      <c r="D13" s="106">
        <v>531.0</v>
      </c>
      <c r="E13" s="107" t="str">
        <f t="shared" si="4"/>
        <v>531</v>
      </c>
      <c r="F13" s="107" t="s">
        <v>1263</v>
      </c>
      <c r="G13" s="108" t="str">
        <f t="shared" si="2"/>
        <v>531</v>
      </c>
      <c r="H13" s="101"/>
      <c r="I13" s="102"/>
      <c r="J13" s="102"/>
      <c r="K13" s="102"/>
      <c r="L13" s="102"/>
      <c r="M13" s="102"/>
      <c r="N13" s="102"/>
      <c r="O13" s="102"/>
    </row>
    <row r="14">
      <c r="A14" s="105" t="s">
        <v>40</v>
      </c>
      <c r="B14" s="106" t="s">
        <v>1263</v>
      </c>
      <c r="C14" s="106" t="s">
        <v>1263</v>
      </c>
      <c r="D14" s="106">
        <v>20.0</v>
      </c>
      <c r="E14" s="107" t="str">
        <f t="shared" si="4"/>
        <v>20</v>
      </c>
      <c r="F14" s="107" t="s">
        <v>1263</v>
      </c>
      <c r="G14" s="108" t="str">
        <f t="shared" si="2"/>
        <v>20</v>
      </c>
      <c r="H14" s="101"/>
      <c r="I14" s="102"/>
      <c r="J14" s="102"/>
      <c r="K14" s="102"/>
      <c r="L14" s="102"/>
      <c r="M14" s="102"/>
      <c r="N14" s="102"/>
      <c r="O14" s="102"/>
    </row>
    <row r="15">
      <c r="A15" s="105" t="s">
        <v>1275</v>
      </c>
      <c r="B15" s="106" t="s">
        <v>1263</v>
      </c>
      <c r="C15" s="106" t="s">
        <v>1263</v>
      </c>
      <c r="D15" s="106">
        <v>8.0</v>
      </c>
      <c r="E15" s="107" t="str">
        <f t="shared" si="4"/>
        <v>8</v>
      </c>
      <c r="F15" s="107" t="s">
        <v>1263</v>
      </c>
      <c r="G15" s="108" t="str">
        <f t="shared" si="2"/>
        <v>8</v>
      </c>
      <c r="H15" s="101"/>
      <c r="I15" s="102"/>
      <c r="J15" s="102"/>
      <c r="K15" s="102"/>
      <c r="L15" s="102"/>
      <c r="M15" s="102"/>
      <c r="N15" s="102"/>
      <c r="O15" s="102"/>
    </row>
    <row r="16">
      <c r="A16" s="105" t="s">
        <v>1276</v>
      </c>
      <c r="B16" s="106" t="s">
        <v>1263</v>
      </c>
      <c r="C16" s="106" t="s">
        <v>1263</v>
      </c>
      <c r="D16" s="106">
        <v>23.0</v>
      </c>
      <c r="E16" s="107" t="str">
        <f t="shared" si="4"/>
        <v>23</v>
      </c>
      <c r="F16" s="111">
        <v>10.0</v>
      </c>
      <c r="G16" s="108" t="str">
        <f t="shared" si="2"/>
        <v>33</v>
      </c>
      <c r="H16" s="101"/>
      <c r="I16" s="102"/>
      <c r="J16" s="102"/>
      <c r="K16" s="102"/>
      <c r="L16" s="102"/>
      <c r="M16" s="102"/>
      <c r="N16" s="102"/>
      <c r="O16" s="102"/>
    </row>
    <row r="17">
      <c r="A17" s="105" t="s">
        <v>1277</v>
      </c>
      <c r="B17" s="106" t="s">
        <v>1263</v>
      </c>
      <c r="C17" s="106" t="s">
        <v>1263</v>
      </c>
      <c r="D17" s="106">
        <v>22.0</v>
      </c>
      <c r="E17" s="107" t="str">
        <f t="shared" si="4"/>
        <v>22</v>
      </c>
      <c r="F17" s="107" t="s">
        <v>1263</v>
      </c>
      <c r="G17" s="108" t="str">
        <f t="shared" si="2"/>
        <v>22</v>
      </c>
      <c r="H17" s="101"/>
      <c r="I17" s="102"/>
      <c r="J17" s="102"/>
      <c r="K17" s="102"/>
      <c r="L17" s="102"/>
      <c r="M17" s="102"/>
      <c r="N17" s="102"/>
      <c r="O17" s="102"/>
    </row>
    <row r="18">
      <c r="A18" s="105" t="s">
        <v>1278</v>
      </c>
      <c r="B18" s="106" t="s">
        <v>1263</v>
      </c>
      <c r="C18" s="106" t="s">
        <v>1263</v>
      </c>
      <c r="D18" s="106">
        <v>15.0</v>
      </c>
      <c r="E18" s="107" t="str">
        <f t="shared" si="4"/>
        <v>15</v>
      </c>
      <c r="F18" s="107" t="s">
        <v>1263</v>
      </c>
      <c r="G18" s="108" t="str">
        <f t="shared" si="2"/>
        <v>15</v>
      </c>
      <c r="H18" s="101"/>
      <c r="I18" s="102"/>
      <c r="J18" s="102"/>
      <c r="K18" s="102"/>
      <c r="L18" s="102"/>
      <c r="M18" s="102"/>
      <c r="N18" s="102"/>
      <c r="O18" s="102"/>
    </row>
    <row r="19">
      <c r="A19" s="105" t="s">
        <v>1279</v>
      </c>
      <c r="B19" s="106" t="s">
        <v>1263</v>
      </c>
      <c r="C19" s="106" t="s">
        <v>1263</v>
      </c>
      <c r="D19" s="106">
        <v>11.0</v>
      </c>
      <c r="E19" s="107" t="str">
        <f t="shared" si="4"/>
        <v>11</v>
      </c>
      <c r="F19" s="107" t="s">
        <v>1263</v>
      </c>
      <c r="G19" s="108" t="str">
        <f t="shared" si="2"/>
        <v>11</v>
      </c>
      <c r="H19" s="101"/>
      <c r="I19" s="102"/>
      <c r="J19" s="102"/>
      <c r="K19" s="102"/>
      <c r="L19" s="102"/>
      <c r="M19" s="102"/>
      <c r="N19" s="102"/>
      <c r="O19" s="102"/>
    </row>
    <row r="20">
      <c r="A20" s="105" t="s">
        <v>1280</v>
      </c>
      <c r="B20" s="106" t="s">
        <v>1263</v>
      </c>
      <c r="C20" s="106" t="s">
        <v>1263</v>
      </c>
      <c r="D20" s="106">
        <v>14.0</v>
      </c>
      <c r="E20" s="107" t="str">
        <f t="shared" si="4"/>
        <v>14</v>
      </c>
      <c r="F20" s="107" t="s">
        <v>1263</v>
      </c>
      <c r="G20" s="108" t="str">
        <f t="shared" si="2"/>
        <v>14</v>
      </c>
      <c r="H20" s="101"/>
      <c r="I20" s="102"/>
      <c r="J20" s="102"/>
      <c r="K20" s="102"/>
      <c r="L20" s="102"/>
      <c r="M20" s="102"/>
      <c r="N20" s="102"/>
      <c r="O20" s="102"/>
    </row>
    <row r="21" ht="15.75" customHeight="1">
      <c r="A21" s="105" t="s">
        <v>1281</v>
      </c>
      <c r="B21" s="106" t="s">
        <v>1263</v>
      </c>
      <c r="C21" s="106" t="s">
        <v>1263</v>
      </c>
      <c r="D21" s="106">
        <v>47.0</v>
      </c>
      <c r="E21" s="107" t="str">
        <f t="shared" si="4"/>
        <v>47</v>
      </c>
      <c r="F21" s="107">
        <v>8.0</v>
      </c>
      <c r="G21" s="108" t="str">
        <f t="shared" si="2"/>
        <v>55</v>
      </c>
      <c r="H21" s="101"/>
      <c r="I21" s="102"/>
      <c r="J21" s="102"/>
      <c r="K21" s="102"/>
      <c r="L21" s="102"/>
      <c r="M21" s="102"/>
      <c r="N21" s="102"/>
      <c r="O21" s="102"/>
    </row>
    <row r="22" ht="15.75" customHeight="1">
      <c r="A22" s="105" t="s">
        <v>1282</v>
      </c>
      <c r="B22" s="106" t="s">
        <v>1263</v>
      </c>
      <c r="C22" s="106" t="s">
        <v>1263</v>
      </c>
      <c r="D22" s="106" t="s">
        <v>1263</v>
      </c>
      <c r="E22" s="107" t="str">
        <f t="shared" si="4"/>
        <v>0</v>
      </c>
      <c r="F22" s="107">
        <v>3.0</v>
      </c>
      <c r="G22" s="108" t="str">
        <f t="shared" si="2"/>
        <v>3</v>
      </c>
      <c r="H22" s="101"/>
      <c r="I22" s="102"/>
      <c r="J22" s="102"/>
      <c r="K22" s="102"/>
      <c r="L22" s="102"/>
      <c r="M22" s="102"/>
      <c r="N22" s="102"/>
      <c r="O22" s="102"/>
    </row>
    <row r="23" ht="15.75" customHeight="1">
      <c r="A23" s="105" t="s">
        <v>1283</v>
      </c>
      <c r="B23" s="106" t="s">
        <v>1263</v>
      </c>
      <c r="C23" s="106" t="s">
        <v>1263</v>
      </c>
      <c r="D23" s="106" t="s">
        <v>1263</v>
      </c>
      <c r="E23" s="107" t="str">
        <f t="shared" si="4"/>
        <v>0</v>
      </c>
      <c r="F23" s="107">
        <v>6.0</v>
      </c>
      <c r="G23" s="108" t="str">
        <f t="shared" si="2"/>
        <v>6</v>
      </c>
      <c r="H23" s="101"/>
      <c r="I23" s="102"/>
      <c r="J23" s="102"/>
      <c r="K23" s="102"/>
      <c r="L23" s="102"/>
      <c r="M23" s="102"/>
      <c r="N23" s="102"/>
      <c r="O23" s="102"/>
    </row>
    <row r="24" ht="15.75" customHeight="1">
      <c r="A24" s="105" t="s">
        <v>39</v>
      </c>
      <c r="B24" s="106" t="s">
        <v>1263</v>
      </c>
      <c r="C24" s="106" t="s">
        <v>1263</v>
      </c>
      <c r="D24" s="106">
        <v>410.0</v>
      </c>
      <c r="E24" s="107" t="str">
        <f t="shared" si="4"/>
        <v>410</v>
      </c>
      <c r="F24" s="107" t="s">
        <v>1263</v>
      </c>
      <c r="G24" s="108" t="str">
        <f t="shared" si="2"/>
        <v>410</v>
      </c>
      <c r="H24" s="101"/>
      <c r="I24" s="102"/>
      <c r="J24" s="102"/>
      <c r="K24" s="102"/>
      <c r="L24" s="102"/>
      <c r="M24" s="102"/>
      <c r="N24" s="102"/>
      <c r="O24" s="102"/>
    </row>
    <row r="25" ht="15.75" customHeight="1">
      <c r="A25" s="112" t="s">
        <v>38</v>
      </c>
      <c r="B25" s="106" t="s">
        <v>1263</v>
      </c>
      <c r="C25" s="106" t="s">
        <v>1263</v>
      </c>
      <c r="D25" s="106">
        <v>65.0</v>
      </c>
      <c r="E25" s="107" t="str">
        <f t="shared" si="4"/>
        <v>65</v>
      </c>
      <c r="F25" s="107" t="s">
        <v>1263</v>
      </c>
      <c r="G25" s="108" t="str">
        <f t="shared" si="2"/>
        <v>65</v>
      </c>
      <c r="H25" s="101"/>
      <c r="I25" s="102"/>
      <c r="J25" s="102"/>
      <c r="K25" s="102"/>
      <c r="L25" s="102"/>
      <c r="M25" s="102"/>
      <c r="N25" s="102"/>
      <c r="O25" s="102"/>
    </row>
    <row r="26" ht="15.75" customHeight="1">
      <c r="A26" s="105" t="s">
        <v>1284</v>
      </c>
      <c r="B26" s="106" t="s">
        <v>1263</v>
      </c>
      <c r="C26" s="106" t="s">
        <v>1263</v>
      </c>
      <c r="D26" s="106">
        <v>7.0</v>
      </c>
      <c r="E26" s="107" t="str">
        <f t="shared" si="4"/>
        <v>7</v>
      </c>
      <c r="F26" s="107" t="s">
        <v>1263</v>
      </c>
      <c r="G26" s="108" t="str">
        <f t="shared" si="2"/>
        <v>7</v>
      </c>
      <c r="H26" s="101"/>
      <c r="I26" s="102"/>
      <c r="J26" s="102"/>
      <c r="K26" s="102"/>
      <c r="L26" s="102"/>
      <c r="M26" s="102"/>
      <c r="N26" s="102"/>
      <c r="O26" s="102"/>
    </row>
    <row r="27" ht="15.75" customHeight="1">
      <c r="A27" s="105" t="s">
        <v>1285</v>
      </c>
      <c r="B27" s="106" t="s">
        <v>1263</v>
      </c>
      <c r="C27" s="106" t="s">
        <v>1263</v>
      </c>
      <c r="D27" s="106">
        <v>13.0</v>
      </c>
      <c r="E27" s="107" t="str">
        <f t="shared" si="4"/>
        <v>13</v>
      </c>
      <c r="F27" s="107" t="s">
        <v>1263</v>
      </c>
      <c r="G27" s="108" t="str">
        <f t="shared" si="2"/>
        <v>13</v>
      </c>
      <c r="H27" s="101"/>
      <c r="I27" s="102"/>
      <c r="J27" s="102"/>
      <c r="K27" s="102"/>
      <c r="L27" s="102"/>
      <c r="M27" s="102"/>
      <c r="N27" s="102"/>
      <c r="O27" s="102"/>
    </row>
    <row r="28" ht="15.75" customHeight="1">
      <c r="A28" s="105" t="s">
        <v>50</v>
      </c>
      <c r="B28" s="106" t="s">
        <v>1263</v>
      </c>
      <c r="C28" s="106" t="s">
        <v>1263</v>
      </c>
      <c r="D28" s="106">
        <v>129.0</v>
      </c>
      <c r="E28" s="107" t="str">
        <f t="shared" si="4"/>
        <v>129</v>
      </c>
      <c r="F28" s="107">
        <v>30.0</v>
      </c>
      <c r="G28" s="108" t="str">
        <f t="shared" si="2"/>
        <v>159</v>
      </c>
      <c r="H28" s="101"/>
      <c r="I28" s="102"/>
      <c r="J28" s="102"/>
      <c r="K28" s="102"/>
      <c r="L28" s="102"/>
      <c r="M28" s="102"/>
      <c r="N28" s="102"/>
      <c r="O28" s="102"/>
    </row>
    <row r="29" ht="15.75" customHeight="1">
      <c r="A29" s="105" t="s">
        <v>52</v>
      </c>
      <c r="B29" s="106" t="s">
        <v>1263</v>
      </c>
      <c r="C29" s="106" t="s">
        <v>1263</v>
      </c>
      <c r="D29" s="106">
        <v>267.0</v>
      </c>
      <c r="E29" s="107" t="str">
        <f t="shared" si="4"/>
        <v>267</v>
      </c>
      <c r="F29" s="107">
        <v>50.0</v>
      </c>
      <c r="G29" s="108" t="str">
        <f t="shared" si="2"/>
        <v>317</v>
      </c>
      <c r="H29" s="101"/>
      <c r="I29" s="102"/>
      <c r="J29" s="102"/>
      <c r="K29" s="102"/>
      <c r="L29" s="102"/>
      <c r="M29" s="102"/>
      <c r="N29" s="102"/>
      <c r="O29" s="102"/>
    </row>
    <row r="30" ht="15.75" customHeight="1">
      <c r="A30" s="105" t="s">
        <v>1286</v>
      </c>
      <c r="B30" s="106" t="s">
        <v>1263</v>
      </c>
      <c r="C30" s="106" t="s">
        <v>1263</v>
      </c>
      <c r="D30" s="106">
        <v>6.0</v>
      </c>
      <c r="E30" s="107" t="str">
        <f t="shared" si="4"/>
        <v>6</v>
      </c>
      <c r="F30" s="107" t="s">
        <v>1263</v>
      </c>
      <c r="G30" s="108" t="str">
        <f t="shared" si="2"/>
        <v>6</v>
      </c>
      <c r="H30" s="101"/>
      <c r="I30" s="102"/>
      <c r="J30" s="102"/>
      <c r="K30" s="102"/>
      <c r="L30" s="102"/>
      <c r="M30" s="102"/>
      <c r="N30" s="102"/>
      <c r="O30" s="102"/>
    </row>
    <row r="31" ht="15.75" customHeight="1">
      <c r="A31" s="105" t="s">
        <v>57</v>
      </c>
      <c r="B31" s="106" t="s">
        <v>1263</v>
      </c>
      <c r="C31" s="106" t="s">
        <v>1263</v>
      </c>
      <c r="D31" s="106">
        <v>3.0</v>
      </c>
      <c r="E31" s="107" t="str">
        <f t="shared" si="4"/>
        <v>3</v>
      </c>
      <c r="F31" s="107" t="s">
        <v>1263</v>
      </c>
      <c r="G31" s="108" t="str">
        <f t="shared" si="2"/>
        <v>3</v>
      </c>
      <c r="H31" s="101"/>
      <c r="I31" s="102"/>
      <c r="J31" s="102"/>
      <c r="K31" s="102"/>
      <c r="L31" s="102"/>
      <c r="M31" s="102"/>
      <c r="N31" s="102"/>
      <c r="O31" s="102"/>
    </row>
    <row r="32" ht="15.75" customHeight="1">
      <c r="A32" s="105" t="s">
        <v>55</v>
      </c>
      <c r="B32" s="106" t="s">
        <v>1263</v>
      </c>
      <c r="C32" s="106" t="s">
        <v>1263</v>
      </c>
      <c r="D32" s="106">
        <v>18.0</v>
      </c>
      <c r="E32" s="107" t="str">
        <f t="shared" si="4"/>
        <v>18</v>
      </c>
      <c r="F32" s="107" t="s">
        <v>1263</v>
      </c>
      <c r="G32" s="108" t="str">
        <f t="shared" si="2"/>
        <v>18</v>
      </c>
      <c r="H32" s="101"/>
      <c r="I32" s="102"/>
      <c r="J32" s="102"/>
      <c r="K32" s="102"/>
      <c r="L32" s="102"/>
      <c r="M32" s="102"/>
      <c r="N32" s="102"/>
      <c r="O32" s="102"/>
    </row>
    <row r="33" ht="15.75" customHeight="1">
      <c r="A33" s="105" t="s">
        <v>1287</v>
      </c>
      <c r="B33" s="106" t="s">
        <v>1263</v>
      </c>
      <c r="C33" s="106" t="s">
        <v>1263</v>
      </c>
      <c r="D33" s="106">
        <v>7.0</v>
      </c>
      <c r="E33" s="107" t="str">
        <f t="shared" si="4"/>
        <v>7</v>
      </c>
      <c r="F33" s="107" t="s">
        <v>1263</v>
      </c>
      <c r="G33" s="108" t="str">
        <f t="shared" si="2"/>
        <v>7</v>
      </c>
      <c r="H33" s="101"/>
      <c r="I33" s="102"/>
      <c r="J33" s="102"/>
      <c r="K33" s="102"/>
      <c r="L33" s="102"/>
      <c r="M33" s="102"/>
      <c r="N33" s="102"/>
      <c r="O33" s="102"/>
    </row>
    <row r="34" ht="15.75" customHeight="1">
      <c r="A34" s="105" t="s">
        <v>1288</v>
      </c>
      <c r="B34" s="106" t="s">
        <v>1263</v>
      </c>
      <c r="C34" s="106" t="s">
        <v>1263</v>
      </c>
      <c r="D34" s="106">
        <v>13.0</v>
      </c>
      <c r="E34" s="107" t="str">
        <f t="shared" si="4"/>
        <v>13</v>
      </c>
      <c r="F34" s="107" t="s">
        <v>1263</v>
      </c>
      <c r="G34" s="108" t="str">
        <f t="shared" si="2"/>
        <v>13</v>
      </c>
      <c r="H34" s="101"/>
      <c r="I34" s="102"/>
      <c r="J34" s="102"/>
      <c r="K34" s="102"/>
      <c r="L34" s="102"/>
      <c r="M34" s="102"/>
      <c r="N34" s="102"/>
      <c r="O34" s="102"/>
    </row>
    <row r="35" ht="15.75" customHeight="1">
      <c r="A35" s="109" t="s">
        <v>1289</v>
      </c>
      <c r="B35" s="110" t="str">
        <f t="shared" ref="B35:F35" si="5">sum(B12:B34)</f>
        <v>0</v>
      </c>
      <c r="C35" s="110" t="str">
        <f t="shared" si="5"/>
        <v>0</v>
      </c>
      <c r="D35" s="110" t="str">
        <f t="shared" si="5"/>
        <v>1654</v>
      </c>
      <c r="E35" s="110" t="str">
        <f t="shared" si="5"/>
        <v>1654</v>
      </c>
      <c r="F35" s="110" t="str">
        <f t="shared" si="5"/>
        <v>107</v>
      </c>
      <c r="G35" s="110" t="str">
        <f t="shared" si="2"/>
        <v>1761</v>
      </c>
      <c r="H35" s="101"/>
      <c r="I35" s="102"/>
      <c r="J35" s="102"/>
      <c r="K35" s="102"/>
      <c r="L35" s="102"/>
      <c r="M35" s="102"/>
      <c r="N35" s="102"/>
      <c r="O35" s="102"/>
    </row>
    <row r="36" ht="15.75" customHeight="1">
      <c r="A36" s="109" t="s">
        <v>32</v>
      </c>
      <c r="B36" s="110" t="str">
        <f t="shared" ref="B36:F36" si="6">sum(B35,B11)</f>
        <v>592</v>
      </c>
      <c r="C36" s="110" t="str">
        <f t="shared" si="6"/>
        <v>416</v>
      </c>
      <c r="D36" s="110" t="str">
        <f t="shared" si="6"/>
        <v>2206</v>
      </c>
      <c r="E36" s="110" t="str">
        <f t="shared" si="6"/>
        <v>3214</v>
      </c>
      <c r="F36" s="110" t="str">
        <f t="shared" si="6"/>
        <v>587</v>
      </c>
      <c r="G36" s="110" t="str">
        <f t="shared" si="2"/>
        <v>3801</v>
      </c>
      <c r="H36" s="101"/>
      <c r="I36" s="102"/>
      <c r="J36" s="102"/>
      <c r="K36" s="102"/>
      <c r="L36" s="102"/>
      <c r="M36" s="102"/>
      <c r="N36" s="102"/>
      <c r="O36" s="102"/>
    </row>
    <row r="37" ht="15.75" customHeight="1">
      <c r="A37" s="101"/>
      <c r="B37" s="101"/>
      <c r="C37" s="101"/>
      <c r="D37" s="101"/>
      <c r="E37" s="101"/>
      <c r="F37" s="101"/>
      <c r="G37" s="101"/>
      <c r="H37" s="101"/>
      <c r="I37" s="102"/>
      <c r="J37" s="102"/>
      <c r="K37" s="102"/>
      <c r="L37" s="102"/>
      <c r="M37" s="102"/>
      <c r="N37" s="102"/>
      <c r="O37" s="102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2"/>
      <c r="J38" s="102"/>
      <c r="K38" s="102"/>
      <c r="L38" s="102"/>
      <c r="M38" s="102"/>
      <c r="N38" s="102"/>
      <c r="O38" s="102"/>
    </row>
    <row r="39" ht="15.75" customHeight="1">
      <c r="A39" s="101"/>
      <c r="B39" s="101"/>
      <c r="C39" s="101"/>
      <c r="D39" s="101"/>
      <c r="E39" s="101"/>
      <c r="F39" s="101"/>
      <c r="G39" s="101"/>
      <c r="H39" s="101"/>
      <c r="I39" s="102"/>
      <c r="J39" s="102"/>
      <c r="K39" s="102"/>
      <c r="L39" s="102"/>
      <c r="M39" s="102"/>
      <c r="N39" s="102"/>
      <c r="O39" s="102"/>
    </row>
    <row r="40" ht="15.75" customHeight="1">
      <c r="A40" s="101"/>
      <c r="B40" s="101"/>
      <c r="C40" s="101"/>
      <c r="D40" s="101"/>
      <c r="E40" s="101"/>
      <c r="F40" s="101"/>
      <c r="G40" s="101"/>
      <c r="H40" s="101"/>
      <c r="I40" s="102"/>
      <c r="J40" s="102"/>
      <c r="K40" s="102"/>
      <c r="L40" s="102"/>
      <c r="M40" s="102"/>
      <c r="N40" s="102"/>
      <c r="O40" s="102"/>
    </row>
    <row r="41" ht="15.75" customHeight="1">
      <c r="A41" s="101"/>
      <c r="B41" s="101"/>
      <c r="C41" s="101"/>
      <c r="D41" s="101"/>
      <c r="E41" s="101"/>
      <c r="F41" s="101"/>
      <c r="G41" s="101"/>
      <c r="H41" s="101"/>
      <c r="I41" s="102"/>
      <c r="J41" s="102"/>
      <c r="K41" s="102"/>
      <c r="L41" s="102"/>
      <c r="M41" s="102"/>
      <c r="N41" s="102"/>
      <c r="O41" s="102"/>
    </row>
    <row r="42" ht="15.75" customHeight="1">
      <c r="A42" s="101"/>
      <c r="B42" s="101"/>
      <c r="C42" s="101"/>
      <c r="D42" s="101"/>
      <c r="E42" s="101"/>
      <c r="F42" s="101"/>
      <c r="G42" s="101"/>
      <c r="H42" s="101"/>
      <c r="I42" s="102"/>
      <c r="J42" s="102"/>
      <c r="K42" s="102"/>
      <c r="L42" s="102"/>
      <c r="M42" s="102"/>
      <c r="N42" s="102"/>
      <c r="O42" s="102"/>
    </row>
    <row r="43" ht="15.75" customHeight="1">
      <c r="A43" s="101"/>
      <c r="B43" s="101"/>
      <c r="C43" s="101"/>
      <c r="D43" s="101"/>
      <c r="E43" s="101"/>
      <c r="F43" s="101"/>
      <c r="G43" s="101"/>
      <c r="H43" s="101"/>
      <c r="I43" s="102"/>
      <c r="J43" s="102"/>
      <c r="K43" s="102"/>
      <c r="L43" s="102"/>
      <c r="M43" s="102"/>
      <c r="N43" s="102"/>
      <c r="O43" s="102"/>
    </row>
    <row r="44" ht="15.75" customHeight="1">
      <c r="A44" s="101"/>
      <c r="B44" s="101"/>
      <c r="C44" s="101"/>
      <c r="D44" s="101"/>
      <c r="E44" s="101"/>
      <c r="F44" s="101"/>
      <c r="G44" s="101"/>
      <c r="H44" s="101"/>
      <c r="I44" s="102"/>
      <c r="J44" s="102"/>
      <c r="K44" s="102"/>
      <c r="L44" s="102"/>
      <c r="M44" s="102"/>
      <c r="N44" s="102"/>
      <c r="O44" s="102"/>
    </row>
    <row r="45" ht="15.75" customHeight="1">
      <c r="A45" s="101"/>
      <c r="B45" s="101"/>
      <c r="C45" s="101"/>
      <c r="D45" s="101"/>
      <c r="E45" s="101"/>
      <c r="F45" s="101"/>
      <c r="G45" s="101"/>
      <c r="H45" s="101"/>
      <c r="I45" s="102"/>
      <c r="J45" s="102"/>
      <c r="K45" s="102"/>
      <c r="L45" s="102"/>
      <c r="M45" s="102"/>
      <c r="N45" s="102"/>
      <c r="O45" s="102"/>
    </row>
    <row r="46" ht="15.75" customHeight="1">
      <c r="A46" s="101"/>
      <c r="B46" s="101"/>
      <c r="C46" s="101"/>
      <c r="D46" s="101"/>
      <c r="E46" s="101"/>
      <c r="F46" s="101"/>
      <c r="G46" s="101"/>
      <c r="H46" s="101"/>
      <c r="I46" s="102"/>
      <c r="J46" s="102"/>
      <c r="K46" s="102"/>
      <c r="L46" s="102"/>
      <c r="M46" s="102"/>
      <c r="N46" s="102"/>
      <c r="O46" s="102"/>
    </row>
    <row r="47" ht="15.75" customHeight="1">
      <c r="A47" s="101"/>
      <c r="B47" s="101"/>
      <c r="C47" s="101"/>
      <c r="D47" s="101"/>
      <c r="E47" s="101"/>
      <c r="F47" s="101"/>
      <c r="G47" s="101"/>
      <c r="H47" s="101"/>
      <c r="I47" s="102"/>
      <c r="J47" s="102"/>
      <c r="K47" s="102"/>
      <c r="L47" s="102"/>
      <c r="M47" s="102"/>
      <c r="N47" s="102"/>
      <c r="O47" s="102"/>
    </row>
    <row r="48" ht="15.75" customHeight="1">
      <c r="A48" s="101"/>
      <c r="B48" s="101"/>
      <c r="C48" s="101"/>
      <c r="D48" s="101"/>
      <c r="E48" s="101"/>
      <c r="F48" s="101"/>
      <c r="G48" s="101"/>
      <c r="H48" s="101"/>
      <c r="I48" s="102"/>
      <c r="J48" s="102"/>
      <c r="K48" s="102"/>
      <c r="L48" s="102"/>
      <c r="M48" s="102"/>
      <c r="N48" s="102"/>
      <c r="O48" s="102"/>
    </row>
    <row r="49" ht="15.75" customHeight="1">
      <c r="A49" s="101"/>
      <c r="B49" s="101"/>
      <c r="C49" s="101"/>
      <c r="D49" s="101"/>
      <c r="E49" s="101"/>
      <c r="F49" s="101"/>
      <c r="G49" s="101"/>
      <c r="H49" s="101"/>
      <c r="I49" s="102"/>
      <c r="J49" s="102"/>
      <c r="K49" s="102"/>
      <c r="L49" s="102"/>
      <c r="M49" s="102"/>
      <c r="N49" s="102"/>
      <c r="O49" s="102"/>
    </row>
    <row r="50" ht="15.75" customHeight="1">
      <c r="A50" s="101"/>
      <c r="B50" s="101"/>
      <c r="C50" s="101"/>
      <c r="D50" s="101"/>
      <c r="E50" s="101"/>
      <c r="F50" s="101"/>
      <c r="G50" s="101"/>
      <c r="H50" s="101"/>
      <c r="I50" s="102"/>
      <c r="J50" s="102"/>
      <c r="K50" s="102"/>
      <c r="L50" s="102"/>
      <c r="M50" s="102"/>
      <c r="N50" s="102"/>
      <c r="O50" s="102"/>
    </row>
    <row r="51" ht="15.75" customHeight="1">
      <c r="A51" s="101"/>
      <c r="B51" s="101"/>
      <c r="C51" s="101"/>
      <c r="D51" s="101"/>
      <c r="E51" s="101"/>
      <c r="F51" s="101"/>
      <c r="G51" s="101"/>
      <c r="H51" s="101"/>
      <c r="I51" s="102"/>
      <c r="J51" s="102"/>
      <c r="K51" s="102"/>
      <c r="L51" s="102"/>
      <c r="M51" s="102"/>
      <c r="N51" s="102"/>
      <c r="O51" s="102"/>
    </row>
    <row r="52" ht="15.75" customHeight="1">
      <c r="A52" s="101"/>
      <c r="B52" s="101"/>
      <c r="C52" s="101"/>
      <c r="D52" s="101"/>
      <c r="E52" s="101"/>
      <c r="F52" s="101"/>
      <c r="G52" s="101"/>
      <c r="H52" s="101"/>
      <c r="I52" s="102"/>
      <c r="J52" s="102"/>
      <c r="K52" s="102"/>
      <c r="L52" s="102"/>
      <c r="M52" s="102"/>
      <c r="N52" s="102"/>
      <c r="O52" s="102"/>
    </row>
    <row r="53" ht="15.75" customHeight="1">
      <c r="A53" s="101"/>
      <c r="B53" s="101"/>
      <c r="C53" s="101"/>
      <c r="D53" s="101"/>
      <c r="E53" s="101"/>
      <c r="F53" s="101"/>
      <c r="G53" s="101"/>
      <c r="H53" s="101"/>
      <c r="I53" s="102"/>
      <c r="J53" s="102"/>
      <c r="K53" s="102"/>
      <c r="L53" s="102"/>
      <c r="M53" s="102"/>
      <c r="N53" s="102"/>
      <c r="O53" s="102"/>
    </row>
    <row r="54" ht="15.75" customHeight="1">
      <c r="A54" s="101"/>
      <c r="B54" s="101"/>
      <c r="C54" s="101"/>
      <c r="D54" s="101"/>
      <c r="E54" s="101"/>
      <c r="F54" s="101"/>
      <c r="G54" s="101"/>
      <c r="H54" s="101"/>
      <c r="I54" s="102"/>
      <c r="J54" s="102"/>
      <c r="K54" s="102"/>
      <c r="L54" s="102"/>
      <c r="M54" s="102"/>
      <c r="N54" s="102"/>
      <c r="O54" s="102"/>
    </row>
    <row r="55" ht="15.75" customHeight="1">
      <c r="A55" s="101"/>
      <c r="B55" s="101"/>
      <c r="C55" s="101"/>
      <c r="D55" s="101"/>
      <c r="E55" s="101"/>
      <c r="F55" s="101"/>
      <c r="G55" s="101"/>
      <c r="H55" s="101"/>
      <c r="I55" s="102"/>
      <c r="J55" s="102"/>
      <c r="K55" s="102"/>
      <c r="L55" s="102"/>
      <c r="M55" s="102"/>
      <c r="N55" s="102"/>
      <c r="O55" s="102"/>
    </row>
    <row r="56" ht="15.75" customHeight="1">
      <c r="A56" s="101"/>
      <c r="B56" s="101"/>
      <c r="C56" s="101"/>
      <c r="D56" s="101"/>
      <c r="E56" s="101"/>
      <c r="F56" s="101"/>
      <c r="G56" s="101"/>
      <c r="H56" s="101"/>
      <c r="I56" s="102"/>
      <c r="J56" s="102"/>
      <c r="K56" s="102"/>
      <c r="L56" s="102"/>
      <c r="M56" s="102"/>
      <c r="N56" s="102"/>
      <c r="O56" s="102"/>
    </row>
    <row r="57" ht="15.75" customHeight="1">
      <c r="A57" s="101"/>
      <c r="B57" s="101"/>
      <c r="C57" s="101"/>
      <c r="D57" s="101"/>
      <c r="E57" s="101"/>
      <c r="F57" s="101"/>
      <c r="G57" s="101"/>
      <c r="H57" s="101"/>
      <c r="I57" s="102"/>
      <c r="J57" s="102"/>
      <c r="K57" s="102"/>
      <c r="L57" s="102"/>
      <c r="M57" s="102"/>
      <c r="N57" s="102"/>
      <c r="O57" s="102"/>
    </row>
    <row r="58" ht="15.75" customHeight="1">
      <c r="A58" s="101"/>
      <c r="B58" s="101"/>
      <c r="C58" s="101"/>
      <c r="D58" s="101"/>
      <c r="E58" s="101"/>
      <c r="F58" s="101"/>
      <c r="G58" s="101"/>
      <c r="H58" s="101"/>
      <c r="I58" s="102"/>
      <c r="J58" s="102"/>
      <c r="K58" s="102"/>
      <c r="L58" s="102"/>
      <c r="M58" s="102"/>
      <c r="N58" s="102"/>
      <c r="O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</row>
  </sheetData>
  <mergeCells count="1">
    <mergeCell ref="A1:G1"/>
  </mergeCells>
  <hyperlinks>
    <hyperlink r:id="rId1" ref="A25"/>
  </hyperlinks>
  <drawing r:id="rId2"/>
</worksheet>
</file>